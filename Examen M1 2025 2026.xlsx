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3695\Downloads\CFA1\FRM\esilv\"/>
    </mc:Choice>
  </mc:AlternateContent>
  <xr:revisionPtr revIDLastSave="0" documentId="13_ncr:1_{3C65E185-DE9F-439C-BA82-11BB7AA8463B}" xr6:coauthVersionLast="47" xr6:coauthVersionMax="47" xr10:uidLastSave="{00000000-0000-0000-0000-000000000000}"/>
  <bookViews>
    <workbookView xWindow="-120" yWindow="-120" windowWidth="20730" windowHeight="11040" activeTab="1" xr2:uid="{69691452-2CA5-4872-A121-E59430EE94C2}"/>
  </bookViews>
  <sheets>
    <sheet name="Exercice1" sheetId="5" r:id="rId1"/>
    <sheet name="Exercice2" sheetId="4" r:id="rId2"/>
    <sheet name="Exercice3" sheetId="3" r:id="rId3"/>
    <sheet name="Setting_exercice3" sheetId="2" r:id="rId4"/>
    <sheet name="Sheet1" sheetId="1" r:id="rId5"/>
  </sheets>
  <externalReferences>
    <externalReference r:id="rId6"/>
    <externalReference r:id="rId7"/>
  </externalReferences>
  <definedNames>
    <definedName name="_xlnm._FilterDatabase" localSheetId="3" hidden="1">Setting_exercice3!$B$12:$B$12</definedName>
    <definedName name="basis" localSheetId="0">Exercice1!$H$13</definedName>
    <definedName name="basis">#REF!</definedName>
    <definedName name="cc" localSheetId="0">Exercice1!$H$20</definedName>
    <definedName name="cc">#REF!</definedName>
    <definedName name="clcDate" localSheetId="0">Exercice1!$H$14</definedName>
    <definedName name="clcDate">#REF!</definedName>
    <definedName name="clean_price" localSheetId="0">Exercice1!$H$19</definedName>
    <definedName name="clean_price">#REF!</definedName>
    <definedName name="coupon_freq" localSheetId="0">Exercice1!$H$7</definedName>
    <definedName name="coupon_freq">#REF!</definedName>
    <definedName name="coupon_rate" localSheetId="0">Exercice1!$H$8</definedName>
    <definedName name="coupon_rate">#REF!</definedName>
    <definedName name="curve" localSheetId="0">Exercice1!$H$10</definedName>
    <definedName name="curve">#REF!</definedName>
    <definedName name="destinations">Setting_exercice3!$A$3:$I$11</definedName>
    <definedName name="issue_date" localSheetId="0">Exercice1!$H$5</definedName>
    <definedName name="issue_date">#REF!</definedName>
    <definedName name="kms" localSheetId="0">[1]Paramètres!#REF!</definedName>
    <definedName name="kms" localSheetId="1">[1]Paramètres!#REF!</definedName>
    <definedName name="kms" localSheetId="2">[1]Paramètres!#REF!</definedName>
    <definedName name="kms">Setting_exercice3!#REF!</definedName>
    <definedName name="last_cpn" localSheetId="0">Exercice1!$H$17</definedName>
    <definedName name="last_cpn">#REF!</definedName>
    <definedName name="liste_arrivees">Setting_exercice3!$A$3:$I$3</definedName>
    <definedName name="liste_depart">Setting_exercice3!$A$3:$A$11</definedName>
    <definedName name="maturity" localSheetId="0">Exercice1!$H$6</definedName>
    <definedName name="maturity">#REF!</definedName>
    <definedName name="nominal" localSheetId="0">Exercice1!$H$9</definedName>
    <definedName name="nominal">#REF!</definedName>
    <definedName name="price_dirty" localSheetId="0">Exercice1!$H$18</definedName>
    <definedName name="price_dirty">#REF!</definedName>
    <definedName name="_xlnm.Print_Area" localSheetId="3">Setting_exercice3!$A$1:$J$14</definedName>
    <definedName name="pu" localSheetId="0">[1]Paramètres!#REF!</definedName>
    <definedName name="pu" localSheetId="1">[1]Paramètres!#REF!</definedName>
    <definedName name="pu" localSheetId="2">[1]Paramètres!#REF!</definedName>
    <definedName name="pu">Setting_exercice3!#REF!</definedName>
    <definedName name="table_input">Exercice2!$F$6:$F$19</definedName>
    <definedName name="villes" localSheetId="3">[2]Billet!$A$21:$A$28</definedName>
    <definedName name="villes">[1]Exercice3!$A$21:$A$28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4" l="1"/>
  <c r="B17" i="3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  <c r="I21" i="2"/>
  <c r="H21" i="2"/>
  <c r="G21" i="2"/>
  <c r="F21" i="2"/>
  <c r="E21" i="2"/>
  <c r="D21" i="2"/>
  <c r="C21" i="2"/>
  <c r="B21" i="2"/>
  <c r="I20" i="2"/>
  <c r="H20" i="2"/>
  <c r="G20" i="2"/>
  <c r="F20" i="2"/>
  <c r="E20" i="2"/>
  <c r="D20" i="2"/>
  <c r="C20" i="2"/>
  <c r="B20" i="2"/>
  <c r="I19" i="2"/>
  <c r="H19" i="2"/>
  <c r="G19" i="2"/>
  <c r="F19" i="2"/>
  <c r="E19" i="2"/>
  <c r="D19" i="2"/>
  <c r="C19" i="2"/>
  <c r="B19" i="2"/>
  <c r="I18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C17" i="2"/>
  <c r="B17" i="2"/>
  <c r="I16" i="2"/>
  <c r="H16" i="2"/>
  <c r="G16" i="2"/>
  <c r="F16" i="2"/>
  <c r="E16" i="2"/>
  <c r="D16" i="2"/>
  <c r="C16" i="2"/>
  <c r="B16" i="2"/>
</calcChain>
</file>

<file path=xl/sharedStrings.xml><?xml version="1.0" encoding="utf-8"?>
<sst xmlns="http://schemas.openxmlformats.org/spreadsheetml/2006/main" count="148" uniqueCount="101">
  <si>
    <t>DESTINATIONS ET DISTANCES KILOMETRIQUES</t>
  </si>
  <si>
    <t>BORDEAUX</t>
  </si>
  <si>
    <t>LILLE</t>
  </si>
  <si>
    <t>LYON</t>
  </si>
  <si>
    <t>MARSEILLE</t>
  </si>
  <si>
    <t>NICE</t>
  </si>
  <si>
    <t>PARIS</t>
  </si>
  <si>
    <t>TOULON</t>
  </si>
  <si>
    <t>TOULOUSE</t>
  </si>
  <si>
    <t>Periode</t>
  </si>
  <si>
    <t>Debut</t>
  </si>
  <si>
    <t>Fin</t>
  </si>
  <si>
    <t>Reduction</t>
  </si>
  <si>
    <t>TVA applicable</t>
  </si>
  <si>
    <t>01 Avril</t>
  </si>
  <si>
    <t>01 Septembre</t>
  </si>
  <si>
    <t>01 Novembre</t>
  </si>
  <si>
    <t>COUT DU PRIX PAR KM</t>
  </si>
  <si>
    <t>SNCF</t>
  </si>
  <si>
    <t>DEPART</t>
  </si>
  <si>
    <t>PRIX</t>
  </si>
  <si>
    <t>ARRIVEE</t>
  </si>
  <si>
    <t>Distance</t>
  </si>
  <si>
    <t>CLASSE</t>
  </si>
  <si>
    <t>TVA</t>
  </si>
  <si>
    <t>TOTAL DU VOYAGE</t>
  </si>
  <si>
    <t>Date du voyage</t>
  </si>
  <si>
    <t>REDUCTION :</t>
  </si>
  <si>
    <t>Date d'émission :</t>
  </si>
  <si>
    <t>AVEC</t>
  </si>
  <si>
    <t>SANS</t>
  </si>
  <si>
    <t>Email destinateur</t>
  </si>
  <si>
    <t>bromasidibe@gmail.com</t>
  </si>
  <si>
    <t>Subject</t>
  </si>
  <si>
    <t>TRADE</t>
  </si>
  <si>
    <t>Reference</t>
  </si>
  <si>
    <t>TradeDate</t>
  </si>
  <si>
    <t>BuySell</t>
  </si>
  <si>
    <t>CallPut</t>
  </si>
  <si>
    <t>Strike</t>
  </si>
  <si>
    <t>Price</t>
  </si>
  <si>
    <t>Quantity</t>
  </si>
  <si>
    <t>Trader</t>
  </si>
  <si>
    <t>Maturity</t>
  </si>
  <si>
    <t>-450 WSX5EA 43933 C3550.0 @ 28.9333333 43000 By OH</t>
  </si>
  <si>
    <t>WSX5EA</t>
  </si>
  <si>
    <t>Sell</t>
  </si>
  <si>
    <t>Call</t>
  </si>
  <si>
    <t>OH</t>
  </si>
  <si>
    <t>400 SXP 43933 P3550.0 @ 28 43000 By VH</t>
  </si>
  <si>
    <t>SXP</t>
  </si>
  <si>
    <t>Buy</t>
  </si>
  <si>
    <t>Put</t>
  </si>
  <si>
    <t>VH</t>
  </si>
  <si>
    <t xml:space="preserve"> +118 SMH1 @ 10523 by TT</t>
  </si>
  <si>
    <t>SM</t>
  </si>
  <si>
    <t>Futures</t>
  </si>
  <si>
    <t>TT</t>
  </si>
  <si>
    <t>…</t>
  </si>
  <si>
    <t>….</t>
  </si>
  <si>
    <t>Paramètres d'évaluation d'une obligation</t>
  </si>
  <si>
    <t>option free bond</t>
  </si>
  <si>
    <t>Bond parameters</t>
  </si>
  <si>
    <t>PV</t>
  </si>
  <si>
    <t>Issue date</t>
  </si>
  <si>
    <t>duration</t>
  </si>
  <si>
    <t>Maturity date</t>
  </si>
  <si>
    <t>convexity</t>
  </si>
  <si>
    <t>Coupon frequence</t>
  </si>
  <si>
    <t>Annual</t>
  </si>
  <si>
    <t>Coupon rate</t>
  </si>
  <si>
    <t>Nominal</t>
  </si>
  <si>
    <t>Ordre</t>
  </si>
  <si>
    <t>Date de paiement</t>
  </si>
  <si>
    <t>Cash flow</t>
  </si>
  <si>
    <t>Discount cash flow</t>
  </si>
  <si>
    <t>Taux (yield to maturity)</t>
  </si>
  <si>
    <t>Pricing parameters</t>
  </si>
  <si>
    <t>Basis</t>
  </si>
  <si>
    <t>30/360</t>
  </si>
  <si>
    <t>Calculation date</t>
  </si>
  <si>
    <t>Result</t>
  </si>
  <si>
    <t>Last coupon date</t>
  </si>
  <si>
    <t>Clean price</t>
  </si>
  <si>
    <t>Coupon courru</t>
  </si>
  <si>
    <t>Nom</t>
  </si>
  <si>
    <t>Prenom</t>
  </si>
  <si>
    <t>CNE</t>
  </si>
  <si>
    <t>Explication</t>
  </si>
  <si>
    <t>Signe -</t>
  </si>
  <si>
    <t>Signe + ou rien</t>
  </si>
  <si>
    <t>Premier chiffre</t>
  </si>
  <si>
    <t>Quantité</t>
  </si>
  <si>
    <t>43933 = TradeDate</t>
  </si>
  <si>
    <t>C3550</t>
  </si>
  <si>
    <t>Call with K = 3550</t>
  </si>
  <si>
    <t>Apres @ on a le prix, maturtiy et le nom traDer</t>
  </si>
  <si>
    <t>reference</t>
  </si>
  <si>
    <t>S'il y'a C = call, s'il y'a pas c'est un put et s'il y'a rien c'est un future</t>
  </si>
  <si>
    <t>maturité future est Dans le nom futures (SMH1)</t>
  </si>
  <si>
    <t>future n'a pas strike mais il a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</si>
</sst>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&quot; €&quot;;[Red]\-#,##0.00&quot; €&quot;"/>
    <numFmt numFmtId="165" formatCode="0&quot; Km&quot;"/>
    <numFmt numFmtId="166" formatCode="d\ mmmm\ yyyy"/>
    <numFmt numFmtId="167" formatCode="mm/dd/yyyy"/>
    <numFmt numFmtId="168" formatCode="0.0000"/>
    <numFmt numFmtId="169" formatCode="[$-F800]dddd\,\ mmmm\ dd\,\ yyyy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MS Sans Serif"/>
    </font>
    <font>
      <b/>
      <sz val="16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Helv"/>
    </font>
    <font>
      <sz val="10"/>
      <color indexed="18"/>
      <name val="Arial"/>
      <family val="2"/>
    </font>
    <font>
      <b/>
      <i/>
      <sz val="18"/>
      <color indexed="18"/>
      <name val="Arial"/>
      <family val="2"/>
    </font>
    <font>
      <b/>
      <sz val="12"/>
      <color indexed="18"/>
      <name val="Arial"/>
      <family val="2"/>
    </font>
    <font>
      <b/>
      <sz val="10"/>
      <color indexed="18"/>
      <name val="Arial"/>
      <family val="2"/>
    </font>
    <font>
      <b/>
      <sz val="14"/>
      <color indexed="18"/>
      <name val="Arial"/>
      <family val="2"/>
    </font>
    <font>
      <b/>
      <sz val="20"/>
      <color indexed="18"/>
      <name val="Tahoma"/>
      <family val="2"/>
    </font>
    <font>
      <b/>
      <i/>
      <sz val="10"/>
      <color indexed="18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DashDot">
        <color indexed="64"/>
      </left>
      <right style="mediumDashDot">
        <color indexed="64"/>
      </right>
      <top style="mediumDashDot">
        <color indexed="64"/>
      </top>
      <bottom style="mediumDashDot">
        <color indexed="64"/>
      </bottom>
      <diagonal/>
    </border>
    <border>
      <left style="double">
        <color indexed="10"/>
      </left>
      <right/>
      <top style="double">
        <color indexed="10"/>
      </top>
      <bottom style="double">
        <color indexed="10"/>
      </bottom>
      <diagonal/>
    </border>
    <border>
      <left/>
      <right/>
      <top style="double">
        <color indexed="10"/>
      </top>
      <bottom style="double">
        <color indexed="10"/>
      </bottom>
      <diagonal/>
    </border>
    <border>
      <left/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0" fillId="0" borderId="0"/>
    <xf numFmtId="9" fontId="10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17">
    <xf numFmtId="0" fontId="0" fillId="0" borderId="0" xfId="0"/>
    <xf numFmtId="0" fontId="6" fillId="0" borderId="0" xfId="2" applyFont="1" applyAlignment="1">
      <alignment horizontal="center"/>
    </xf>
    <xf numFmtId="0" fontId="7" fillId="0" borderId="0" xfId="2" applyFont="1"/>
    <xf numFmtId="0" fontId="8" fillId="0" borderId="1" xfId="2" applyFont="1" applyBorder="1" applyAlignment="1">
      <alignment horizontal="left"/>
    </xf>
    <xf numFmtId="0" fontId="9" fillId="0" borderId="1" xfId="2" applyFont="1" applyBorder="1" applyAlignment="1">
      <alignment horizontal="center"/>
    </xf>
    <xf numFmtId="0" fontId="7" fillId="2" borderId="0" xfId="2" applyFont="1" applyFill="1"/>
    <xf numFmtId="0" fontId="9" fillId="0" borderId="1" xfId="2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1" xfId="2" applyFont="1" applyBorder="1"/>
    <xf numFmtId="16" fontId="7" fillId="0" borderId="1" xfId="2" applyNumberFormat="1" applyFont="1" applyBorder="1" applyAlignment="1">
      <alignment horizontal="left"/>
    </xf>
    <xf numFmtId="9" fontId="7" fillId="0" borderId="1" xfId="2" applyNumberFormat="1" applyFont="1" applyBorder="1"/>
    <xf numFmtId="0" fontId="7" fillId="0" borderId="0" xfId="3" applyFont="1"/>
    <xf numFmtId="2" fontId="7" fillId="0" borderId="1" xfId="2" applyNumberFormat="1" applyFont="1" applyBorder="1" applyAlignment="1">
      <alignment horizontal="center"/>
    </xf>
    <xf numFmtId="0" fontId="11" fillId="3" borderId="0" xfId="3" applyFont="1" applyFill="1"/>
    <xf numFmtId="0" fontId="12" fillId="3" borderId="2" xfId="3" applyFont="1" applyFill="1" applyBorder="1" applyAlignment="1">
      <alignment horizontal="center"/>
    </xf>
    <xf numFmtId="0" fontId="13" fillId="3" borderId="3" xfId="3" applyFont="1" applyFill="1" applyBorder="1" applyAlignment="1">
      <alignment horizontal="center"/>
    </xf>
    <xf numFmtId="0" fontId="13" fillId="3" borderId="4" xfId="3" applyFont="1" applyFill="1" applyBorder="1" applyAlignment="1">
      <alignment horizontal="center"/>
    </xf>
    <xf numFmtId="0" fontId="12" fillId="4" borderId="5" xfId="3" applyFont="1" applyFill="1" applyBorder="1" applyAlignment="1">
      <alignment horizontal="center"/>
    </xf>
    <xf numFmtId="0" fontId="13" fillId="4" borderId="0" xfId="3" applyFont="1" applyFill="1" applyAlignment="1">
      <alignment horizontal="center"/>
    </xf>
    <xf numFmtId="0" fontId="11" fillId="4" borderId="0" xfId="3" applyFont="1" applyFill="1"/>
    <xf numFmtId="0" fontId="13" fillId="4" borderId="6" xfId="3" applyFont="1" applyFill="1" applyBorder="1" applyAlignment="1">
      <alignment horizontal="center"/>
    </xf>
    <xf numFmtId="0" fontId="12" fillId="3" borderId="5" xfId="3" applyFont="1" applyFill="1" applyBorder="1" applyAlignment="1">
      <alignment horizontal="center"/>
    </xf>
    <xf numFmtId="0" fontId="13" fillId="3" borderId="0" xfId="3" applyFont="1" applyFill="1" applyAlignment="1">
      <alignment horizontal="center"/>
    </xf>
    <xf numFmtId="0" fontId="13" fillId="4" borderId="7" xfId="3" applyFont="1" applyFill="1" applyBorder="1" applyAlignment="1">
      <alignment horizontal="center"/>
    </xf>
    <xf numFmtId="0" fontId="14" fillId="3" borderId="5" xfId="3" applyFont="1" applyFill="1" applyBorder="1"/>
    <xf numFmtId="0" fontId="13" fillId="3" borderId="8" xfId="3" applyFont="1" applyFill="1" applyBorder="1" applyAlignment="1">
      <alignment horizontal="center"/>
    </xf>
    <xf numFmtId="0" fontId="13" fillId="3" borderId="9" xfId="3" applyFont="1" applyFill="1" applyBorder="1" applyAlignment="1">
      <alignment horizontal="center"/>
    </xf>
    <xf numFmtId="0" fontId="13" fillId="3" borderId="10" xfId="3" applyFont="1" applyFill="1" applyBorder="1" applyAlignment="1">
      <alignment horizontal="center"/>
    </xf>
    <xf numFmtId="0" fontId="14" fillId="3" borderId="0" xfId="3" applyFont="1" applyFill="1" applyAlignment="1">
      <alignment horizontal="left"/>
    </xf>
    <xf numFmtId="164" fontId="11" fillId="5" borderId="1" xfId="3" applyNumberFormat="1" applyFont="1" applyFill="1" applyBorder="1"/>
    <xf numFmtId="0" fontId="11" fillId="3" borderId="11" xfId="3" applyFont="1" applyFill="1" applyBorder="1"/>
    <xf numFmtId="0" fontId="11" fillId="4" borderId="7" xfId="3" applyFont="1" applyFill="1" applyBorder="1"/>
    <xf numFmtId="0" fontId="14" fillId="4" borderId="7" xfId="3" applyFont="1" applyFill="1" applyBorder="1"/>
    <xf numFmtId="0" fontId="14" fillId="3" borderId="5" xfId="3" applyFont="1" applyFill="1" applyBorder="1" applyAlignment="1">
      <alignment horizontal="left" vertical="center"/>
    </xf>
    <xf numFmtId="165" fontId="14" fillId="5" borderId="12" xfId="3" applyNumberFormat="1" applyFont="1" applyFill="1" applyBorder="1" applyAlignment="1">
      <alignment horizontal="left" vertical="center" wrapText="1"/>
    </xf>
    <xf numFmtId="0" fontId="11" fillId="3" borderId="0" xfId="3" applyFont="1" applyFill="1" applyAlignment="1">
      <alignment horizontal="left"/>
    </xf>
    <xf numFmtId="165" fontId="14" fillId="5" borderId="0" xfId="3" applyNumberFormat="1" applyFont="1" applyFill="1" applyAlignment="1">
      <alignment horizontal="left" vertical="center" wrapText="1"/>
    </xf>
    <xf numFmtId="0" fontId="14" fillId="3" borderId="0" xfId="3" applyFont="1" applyFill="1" applyAlignment="1">
      <alignment horizontal="center"/>
    </xf>
    <xf numFmtId="0" fontId="11" fillId="3" borderId="5" xfId="3" applyFont="1" applyFill="1" applyBorder="1"/>
    <xf numFmtId="0" fontId="15" fillId="3" borderId="0" xfId="3" applyFont="1" applyFill="1" applyAlignment="1">
      <alignment horizontal="left"/>
    </xf>
    <xf numFmtId="0" fontId="15" fillId="3" borderId="0" xfId="3" applyFont="1" applyFill="1"/>
    <xf numFmtId="0" fontId="11" fillId="3" borderId="11" xfId="3" applyFont="1" applyFill="1" applyBorder="1" applyAlignment="1">
      <alignment horizontal="left"/>
    </xf>
    <xf numFmtId="0" fontId="15" fillId="3" borderId="5" xfId="3" applyFont="1" applyFill="1" applyBorder="1" applyAlignment="1">
      <alignment horizontal="left"/>
    </xf>
    <xf numFmtId="0" fontId="16" fillId="3" borderId="0" xfId="3" applyFont="1" applyFill="1"/>
    <xf numFmtId="0" fontId="16" fillId="3" borderId="13" xfId="3" applyFont="1" applyFill="1" applyBorder="1" applyAlignment="1">
      <alignment horizontal="center"/>
    </xf>
    <xf numFmtId="0" fontId="14" fillId="3" borderId="0" xfId="3" applyFont="1" applyFill="1"/>
    <xf numFmtId="0" fontId="14" fillId="3" borderId="5" xfId="3" applyFont="1" applyFill="1" applyBorder="1" applyAlignment="1">
      <alignment horizontal="right" vertical="top" wrapText="1"/>
    </xf>
    <xf numFmtId="14" fontId="14" fillId="3" borderId="0" xfId="3" applyNumberFormat="1" applyFont="1" applyFill="1"/>
    <xf numFmtId="0" fontId="11" fillId="4" borderId="0" xfId="3" applyFont="1" applyFill="1" applyAlignment="1">
      <alignment horizontal="left"/>
    </xf>
    <xf numFmtId="0" fontId="14" fillId="3" borderId="0" xfId="3" applyFont="1" applyFill="1" applyAlignment="1">
      <alignment horizontal="center"/>
    </xf>
    <xf numFmtId="0" fontId="14" fillId="3" borderId="5" xfId="3" applyFont="1" applyFill="1" applyBorder="1" applyAlignment="1">
      <alignment horizontal="right"/>
    </xf>
    <xf numFmtId="0" fontId="11" fillId="3" borderId="1" xfId="3" applyFont="1" applyFill="1" applyBorder="1"/>
    <xf numFmtId="0" fontId="14" fillId="3" borderId="11" xfId="3" applyFont="1" applyFill="1" applyBorder="1" applyAlignment="1">
      <alignment horizontal="right"/>
    </xf>
    <xf numFmtId="0" fontId="14" fillId="3" borderId="0" xfId="3" applyFont="1" applyFill="1" applyAlignment="1">
      <alignment horizontal="right"/>
    </xf>
    <xf numFmtId="9" fontId="11" fillId="5" borderId="1" xfId="4" applyFont="1" applyFill="1" applyBorder="1" applyAlignment="1">
      <alignment horizontal="left"/>
    </xf>
    <xf numFmtId="164" fontId="13" fillId="5" borderId="14" xfId="3" applyNumberFormat="1" applyFont="1" applyFill="1" applyBorder="1" applyAlignment="1">
      <alignment horizontal="center"/>
    </xf>
    <xf numFmtId="164" fontId="13" fillId="5" borderId="15" xfId="3" applyNumberFormat="1" applyFont="1" applyFill="1" applyBorder="1" applyAlignment="1">
      <alignment horizontal="center"/>
    </xf>
    <xf numFmtId="164" fontId="13" fillId="5" borderId="16" xfId="3" applyNumberFormat="1" applyFont="1" applyFill="1" applyBorder="1" applyAlignment="1">
      <alignment horizontal="center"/>
    </xf>
    <xf numFmtId="0" fontId="14" fillId="4" borderId="17" xfId="3" applyFont="1" applyFill="1" applyBorder="1"/>
    <xf numFmtId="9" fontId="14" fillId="3" borderId="0" xfId="3" applyNumberFormat="1" applyFont="1" applyFill="1"/>
    <xf numFmtId="0" fontId="17" fillId="3" borderId="18" xfId="3" applyFont="1" applyFill="1" applyBorder="1"/>
    <xf numFmtId="166" fontId="11" fillId="3" borderId="19" xfId="3" applyNumberFormat="1" applyFont="1" applyFill="1" applyBorder="1"/>
    <xf numFmtId="0" fontId="11" fillId="3" borderId="19" xfId="3" applyFont="1" applyFill="1" applyBorder="1"/>
    <xf numFmtId="0" fontId="11" fillId="4" borderId="19" xfId="3" applyFont="1" applyFill="1" applyBorder="1"/>
    <xf numFmtId="0" fontId="11" fillId="4" borderId="20" xfId="3" applyFont="1" applyFill="1" applyBorder="1"/>
    <xf numFmtId="0" fontId="18" fillId="0" borderId="0" xfId="5"/>
    <xf numFmtId="0" fontId="0" fillId="6" borderId="0" xfId="0" applyFill="1"/>
    <xf numFmtId="0" fontId="19" fillId="0" borderId="0" xfId="0" applyFont="1"/>
    <xf numFmtId="2" fontId="19" fillId="0" borderId="0" xfId="0" applyNumberFormat="1" applyFont="1"/>
    <xf numFmtId="49" fontId="0" fillId="0" borderId="1" xfId="0" applyNumberFormat="1" applyBorder="1"/>
    <xf numFmtId="14" fontId="0" fillId="0" borderId="0" xfId="0" applyNumberFormat="1"/>
    <xf numFmtId="14" fontId="19" fillId="0" borderId="0" xfId="0" applyNumberFormat="1" applyFont="1"/>
    <xf numFmtId="167" fontId="19" fillId="0" borderId="0" xfId="0" applyNumberFormat="1" applyFont="1"/>
    <xf numFmtId="49" fontId="18" fillId="0" borderId="1" xfId="5" applyNumberFormat="1" applyBorder="1"/>
    <xf numFmtId="0" fontId="2" fillId="0" borderId="0" xfId="0" applyFont="1"/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0" fontId="21" fillId="7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2" fontId="0" fillId="0" borderId="0" xfId="0" applyNumberFormat="1"/>
    <xf numFmtId="0" fontId="3" fillId="2" borderId="0" xfId="0" applyFont="1" applyFill="1"/>
    <xf numFmtId="0" fontId="0" fillId="2" borderId="1" xfId="0" applyFill="1" applyBorder="1"/>
    <xf numFmtId="2" fontId="0" fillId="0" borderId="1" xfId="0" applyNumberFormat="1" applyBorder="1"/>
    <xf numFmtId="168" fontId="0" fillId="8" borderId="1" xfId="0" applyNumberFormat="1" applyFill="1" applyBorder="1"/>
    <xf numFmtId="0" fontId="0" fillId="9" borderId="1" xfId="0" applyFill="1" applyBorder="1"/>
    <xf numFmtId="169" fontId="0" fillId="9" borderId="1" xfId="0" applyNumberFormat="1" applyFill="1" applyBorder="1" applyAlignment="1">
      <alignment horizontal="right"/>
    </xf>
    <xf numFmtId="2" fontId="22" fillId="0" borderId="1" xfId="0" applyNumberFormat="1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0" fillId="0" borderId="1" xfId="0" applyBorder="1"/>
    <xf numFmtId="0" fontId="0" fillId="9" borderId="1" xfId="0" applyFill="1" applyBorder="1" applyAlignment="1">
      <alignment horizontal="right"/>
    </xf>
    <xf numFmtId="9" fontId="0" fillId="9" borderId="1" xfId="1" applyFont="1" applyFill="1" applyBorder="1" applyAlignment="1">
      <alignment horizontal="right"/>
    </xf>
    <xf numFmtId="0" fontId="0" fillId="9" borderId="8" xfId="0" applyFill="1" applyBorder="1" applyAlignment="1">
      <alignment horizontal="left"/>
    </xf>
    <xf numFmtId="0" fontId="0" fillId="9" borderId="10" xfId="0" applyFill="1" applyBorder="1" applyAlignment="1">
      <alignment horizontal="left"/>
    </xf>
    <xf numFmtId="0" fontId="0" fillId="9" borderId="8" xfId="0" applyFill="1" applyBorder="1" applyAlignment="1">
      <alignment horizontal="right"/>
    </xf>
    <xf numFmtId="0" fontId="0" fillId="9" borderId="9" xfId="0" applyFill="1" applyBorder="1" applyAlignment="1">
      <alignment horizontal="right"/>
    </xf>
    <xf numFmtId="0" fontId="0" fillId="9" borderId="10" xfId="0" applyFill="1" applyBorder="1" applyAlignment="1">
      <alignment horizontal="right"/>
    </xf>
    <xf numFmtId="0" fontId="4" fillId="10" borderId="1" xfId="0" applyFont="1" applyFill="1" applyBorder="1"/>
    <xf numFmtId="14" fontId="4" fillId="10" borderId="1" xfId="0" applyNumberFormat="1" applyFont="1" applyFill="1" applyBorder="1"/>
    <xf numFmtId="2" fontId="4" fillId="10" borderId="1" xfId="0" applyNumberFormat="1" applyFont="1" applyFill="1" applyBorder="1"/>
    <xf numFmtId="0" fontId="0" fillId="9" borderId="21" xfId="0" applyFill="1" applyBorder="1"/>
    <xf numFmtId="10" fontId="0" fillId="9" borderId="21" xfId="0" applyNumberFormat="1" applyFill="1" applyBorder="1" applyAlignment="1">
      <alignment horizontal="right"/>
    </xf>
    <xf numFmtId="0" fontId="0" fillId="9" borderId="21" xfId="0" applyFill="1" applyBorder="1" applyAlignment="1">
      <alignment horizontal="right"/>
    </xf>
    <xf numFmtId="0" fontId="0" fillId="11" borderId="0" xfId="0" applyFill="1"/>
    <xf numFmtId="10" fontId="0" fillId="11" borderId="0" xfId="0" applyNumberFormat="1" applyFill="1" applyAlignment="1">
      <alignment horizontal="right"/>
    </xf>
    <xf numFmtId="0" fontId="0" fillId="11" borderId="0" xfId="0" applyFill="1" applyAlignment="1">
      <alignment horizontal="right"/>
    </xf>
    <xf numFmtId="0" fontId="0" fillId="2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0" fillId="12" borderId="1" xfId="0" applyFill="1" applyBorder="1"/>
    <xf numFmtId="0" fontId="0" fillId="8" borderId="1" xfId="0" applyFill="1" applyBorder="1" applyAlignment="1">
      <alignment horizontal="right"/>
    </xf>
    <xf numFmtId="14" fontId="0" fillId="8" borderId="1" xfId="0" applyNumberFormat="1" applyFill="1" applyBorder="1"/>
    <xf numFmtId="0" fontId="0" fillId="8" borderId="1" xfId="0" applyFill="1" applyBorder="1"/>
    <xf numFmtId="0" fontId="0" fillId="13" borderId="1" xfId="0" applyFill="1" applyBorder="1"/>
    <xf numFmtId="169" fontId="0" fillId="13" borderId="1" xfId="0" applyNumberFormat="1" applyFill="1" applyBorder="1"/>
    <xf numFmtId="168" fontId="0" fillId="13" borderId="1" xfId="0" applyNumberFormat="1" applyFill="1" applyBorder="1"/>
    <xf numFmtId="168" fontId="0" fillId="8" borderId="1" xfId="0" applyNumberFormat="1" applyFill="1" applyBorder="1"/>
    <xf numFmtId="0" fontId="3" fillId="2" borderId="1" xfId="0" applyFont="1" applyFill="1" applyBorder="1"/>
  </cellXfs>
  <cellStyles count="6">
    <cellStyle name="Hyperlink" xfId="5" builtinId="8"/>
    <cellStyle name="Normal" xfId="0" builtinId="0"/>
    <cellStyle name="Normal 2" xfId="3" xr:uid="{2E25FD12-5595-48D4-823A-C7944A5D75F5}"/>
    <cellStyle name="Normal_TABSNCF" xfId="2" xr:uid="{BC301292-B6B0-4CDF-BE10-BA6B29560EBB}"/>
    <cellStyle name="Percent" xfId="1" builtinId="5"/>
    <cellStyle name="Percent 2" xfId="4" xr:uid="{D3B3AF32-E7CB-43D0-80DF-042DD2CA8595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600075</xdr:colOff>
          <xdr:row>22</xdr:row>
          <xdr:rowOff>9525</xdr:rowOff>
        </xdr:from>
        <xdr:to>
          <xdr:col>9</xdr:col>
          <xdr:colOff>600075</xdr:colOff>
          <xdr:row>24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4CED094-4ACD-4E41-B053-67FDF54799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Valider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3695\Downloads\CFA1\FRM\esilv\Examen%20M1%20ESILV.xlsm" TargetMode="External"/><Relationship Id="rId1" Type="http://schemas.openxmlformats.org/officeDocument/2006/relationships/externalLinkPath" Target="Examen%20M1%20ESILV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3695/Documents/Pantheon/old/Devoir/tp_billet_mard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ueil"/>
      <sheetName val="Exercice1"/>
      <sheetName val="Exerice2"/>
      <sheetName val="Exercice3"/>
      <sheetName val="Paramètres"/>
    </sheetNames>
    <sheetDataSet>
      <sheetData sheetId="0"/>
      <sheetData sheetId="1"/>
      <sheetData sheetId="2"/>
      <sheetData sheetId="3">
        <row r="21">
          <cell r="A21" t="str">
            <v>MARSEILLE</v>
          </cell>
        </row>
        <row r="22">
          <cell r="A22" t="str">
            <v>NICE</v>
          </cell>
        </row>
        <row r="23">
          <cell r="A23" t="str">
            <v>TOULOUSE</v>
          </cell>
        </row>
        <row r="24">
          <cell r="A24" t="str">
            <v>TOULON</v>
          </cell>
        </row>
        <row r="25">
          <cell r="A25" t="str">
            <v>LILLE</v>
          </cell>
        </row>
        <row r="26">
          <cell r="A26" t="str">
            <v>LYON</v>
          </cell>
        </row>
        <row r="27">
          <cell r="A27" t="str">
            <v>BORDEAUX</v>
          </cell>
        </row>
        <row r="28">
          <cell r="A28" t="str">
            <v>PARIS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Billet"/>
    </sheetNames>
    <sheetDataSet>
      <sheetData sheetId="0"/>
      <sheetData sheetId="1">
        <row r="21">
          <cell r="A21" t="str">
            <v>MARSEILLE</v>
          </cell>
        </row>
        <row r="22">
          <cell r="A22" t="str">
            <v>NICE</v>
          </cell>
        </row>
        <row r="23">
          <cell r="A23" t="str">
            <v>TOULOUSE</v>
          </cell>
        </row>
        <row r="24">
          <cell r="A24" t="str">
            <v>TOULON</v>
          </cell>
        </row>
        <row r="25">
          <cell r="A25" t="str">
            <v>LILLE</v>
          </cell>
        </row>
        <row r="26">
          <cell r="A26" t="str">
            <v>LYON</v>
          </cell>
        </row>
        <row r="27">
          <cell r="A27" t="str">
            <v>BORDEAUX</v>
          </cell>
        </row>
        <row r="28">
          <cell r="A28" t="str">
            <v>PARIS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35262-7010-4B71-97BA-1635ED1ADC83}" name="Table1" displayName="Table1" ref="H5:P10" totalsRowShown="0" headerRowDxfId="10" dataDxfId="9">
  <autoFilter ref="H5:P10" xr:uid="{00000000-0009-0000-0100-000001000000}"/>
  <tableColumns count="9">
    <tableColumn id="2" xr3:uid="{2602BF4B-44A2-4F4F-AB76-96D9ED78B712}" name="Reference" dataDxfId="8"/>
    <tableColumn id="4" xr3:uid="{7F538D17-B294-4642-928D-3F6BA5B9A77D}" name="TradeDate" dataDxfId="7"/>
    <tableColumn id="5" xr3:uid="{21AEB4DB-EAFE-4A24-9C86-8AFF5ED5228F}" name="BuySell" dataDxfId="6"/>
    <tableColumn id="6" xr3:uid="{A52DD3E7-8BBB-4914-BB6D-A6DDF1EDC225}" name="CallPut" dataDxfId="5"/>
    <tableColumn id="7" xr3:uid="{753CFD0B-DF34-47A9-917A-A89CACD4EA3C}" name="Strike" dataDxfId="4"/>
    <tableColumn id="8" xr3:uid="{9904B38B-A78B-4744-B721-2A61416D2BC7}" name="Price" dataDxfId="3"/>
    <tableColumn id="10" xr3:uid="{BC4BD3F9-9A7A-41C8-96FF-10C9704FB511}" name="Quantity" dataDxfId="2"/>
    <tableColumn id="1" xr3:uid="{B60F9444-00FF-421D-AF34-24E8F3271714}" name="Trader" dataDxfId="1"/>
    <tableColumn id="3" xr3:uid="{A521C6A2-D746-4645-8B60-CC9DA229744F}" name="Matu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romasidib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3847-0571-4A89-ADB2-04F78113F440}">
  <sheetPr codeName="Sheet2"/>
  <dimension ref="F2:P3659"/>
  <sheetViews>
    <sheetView topLeftCell="F1" workbookViewId="0">
      <selection activeCell="L11" sqref="L11"/>
    </sheetView>
  </sheetViews>
  <sheetFormatPr defaultRowHeight="15" x14ac:dyDescent="0.25"/>
  <cols>
    <col min="6" max="6" width="23.5703125" customWidth="1"/>
    <col min="8" max="8" width="12.5703125" customWidth="1"/>
    <col min="12" max="12" width="10.42578125" bestFit="1" customWidth="1"/>
    <col min="14" max="14" width="17.140625" customWidth="1"/>
    <col min="15" max="15" width="22" style="79" customWidth="1"/>
    <col min="16" max="16" width="25.28515625" customWidth="1"/>
  </cols>
  <sheetData>
    <row r="2" spans="6:16" s="78" customFormat="1" ht="19.5" customHeight="1" x14ac:dyDescent="0.25">
      <c r="F2" s="77" t="s">
        <v>60</v>
      </c>
      <c r="G2" s="77"/>
      <c r="H2" s="77"/>
      <c r="I2" s="77"/>
      <c r="J2" s="77"/>
    </row>
    <row r="3" spans="6:16" x14ac:dyDescent="0.25">
      <c r="P3" s="80" t="s">
        <v>61</v>
      </c>
    </row>
    <row r="4" spans="6:16" x14ac:dyDescent="0.25">
      <c r="F4" s="81" t="s">
        <v>62</v>
      </c>
      <c r="G4" s="81"/>
      <c r="H4" s="81"/>
      <c r="I4" s="81"/>
      <c r="J4" s="81"/>
      <c r="O4" s="82" t="s">
        <v>63</v>
      </c>
      <c r="P4" s="83"/>
    </row>
    <row r="5" spans="6:16" ht="18.75" x14ac:dyDescent="0.25">
      <c r="F5" s="84" t="s">
        <v>64</v>
      </c>
      <c r="G5" s="84"/>
      <c r="H5" s="85">
        <v>40179</v>
      </c>
      <c r="I5" s="85"/>
      <c r="J5" s="85"/>
      <c r="O5" s="86" t="s">
        <v>65</v>
      </c>
      <c r="P5" s="87"/>
    </row>
    <row r="6" spans="6:16" x14ac:dyDescent="0.25">
      <c r="F6" s="84" t="s">
        <v>66</v>
      </c>
      <c r="G6" s="84"/>
      <c r="H6" s="85">
        <v>43101</v>
      </c>
      <c r="I6" s="85"/>
      <c r="J6" s="85"/>
      <c r="N6" s="70"/>
      <c r="O6" s="82" t="s">
        <v>67</v>
      </c>
      <c r="P6" s="88"/>
    </row>
    <row r="7" spans="6:16" x14ac:dyDescent="0.25">
      <c r="F7" s="84" t="s">
        <v>68</v>
      </c>
      <c r="G7" s="84"/>
      <c r="H7" s="89" t="s">
        <v>69</v>
      </c>
      <c r="I7" s="89"/>
      <c r="J7" s="89"/>
    </row>
    <row r="8" spans="6:16" x14ac:dyDescent="0.25">
      <c r="F8" s="84" t="s">
        <v>70</v>
      </c>
      <c r="G8" s="84"/>
      <c r="H8" s="90">
        <v>0.02</v>
      </c>
      <c r="I8" s="90"/>
      <c r="J8" s="90"/>
      <c r="N8" s="70"/>
    </row>
    <row r="9" spans="6:16" x14ac:dyDescent="0.25">
      <c r="F9" s="91" t="s">
        <v>71</v>
      </c>
      <c r="G9" s="92"/>
      <c r="H9" s="93">
        <v>1000</v>
      </c>
      <c r="I9" s="94"/>
      <c r="J9" s="95"/>
      <c r="M9" s="96" t="s">
        <v>72</v>
      </c>
      <c r="N9" s="97" t="s">
        <v>73</v>
      </c>
      <c r="O9" s="98" t="s">
        <v>74</v>
      </c>
      <c r="P9" s="98" t="s">
        <v>75</v>
      </c>
    </row>
    <row r="10" spans="6:16" ht="15.75" thickBot="1" x14ac:dyDescent="0.3">
      <c r="F10" s="99" t="s">
        <v>76</v>
      </c>
      <c r="G10" s="99"/>
      <c r="H10" s="100">
        <v>0.02</v>
      </c>
      <c r="I10" s="101"/>
      <c r="J10" s="101"/>
      <c r="N10" s="70"/>
    </row>
    <row r="11" spans="6:16" ht="15.75" thickBot="1" x14ac:dyDescent="0.3">
      <c r="F11" s="102"/>
      <c r="G11" s="102"/>
      <c r="H11" s="103"/>
      <c r="I11" s="104"/>
      <c r="J11" s="104"/>
      <c r="L11" s="79"/>
      <c r="N11" s="70"/>
    </row>
    <row r="12" spans="6:16" ht="15.75" thickBot="1" x14ac:dyDescent="0.3">
      <c r="F12" s="105" t="s">
        <v>77</v>
      </c>
      <c r="G12" s="106"/>
      <c r="H12" s="106"/>
      <c r="I12" s="106"/>
      <c r="J12" s="107"/>
      <c r="L12" s="79"/>
      <c r="N12" s="70"/>
    </row>
    <row r="13" spans="6:16" x14ac:dyDescent="0.25">
      <c r="F13" s="108" t="s">
        <v>78</v>
      </c>
      <c r="G13" s="108"/>
      <c r="H13" s="109" t="s">
        <v>79</v>
      </c>
      <c r="I13" s="109"/>
      <c r="J13" s="109"/>
      <c r="N13" s="70"/>
    </row>
    <row r="14" spans="6:16" x14ac:dyDescent="0.25">
      <c r="F14" s="108" t="s">
        <v>80</v>
      </c>
      <c r="G14" s="108"/>
      <c r="H14" s="110">
        <v>41589</v>
      </c>
      <c r="I14" s="111"/>
      <c r="J14" s="111"/>
      <c r="N14" s="70"/>
    </row>
    <row r="15" spans="6:16" ht="15.75" thickBot="1" x14ac:dyDescent="0.3">
      <c r="F15" s="102"/>
      <c r="G15" s="102"/>
      <c r="H15" s="103"/>
      <c r="I15" s="104"/>
      <c r="J15" s="104"/>
      <c r="N15" s="70"/>
    </row>
    <row r="16" spans="6:16" ht="15.75" thickBot="1" x14ac:dyDescent="0.3">
      <c r="F16" s="105" t="s">
        <v>81</v>
      </c>
      <c r="G16" s="106"/>
      <c r="H16" s="106"/>
      <c r="I16" s="106"/>
      <c r="J16" s="107"/>
      <c r="N16" s="70"/>
    </row>
    <row r="17" spans="6:14" x14ac:dyDescent="0.25">
      <c r="F17" s="112" t="s">
        <v>82</v>
      </c>
      <c r="G17" s="112"/>
      <c r="H17" s="113">
        <v>41274</v>
      </c>
      <c r="I17" s="113"/>
      <c r="J17" s="113"/>
      <c r="N17" s="70"/>
    </row>
    <row r="18" spans="6:14" x14ac:dyDescent="0.25">
      <c r="F18" s="112" t="s">
        <v>40</v>
      </c>
      <c r="G18" s="112"/>
      <c r="H18" s="114">
        <v>831.39019922619309</v>
      </c>
      <c r="I18" s="114"/>
      <c r="J18" s="114"/>
      <c r="N18" s="70"/>
    </row>
    <row r="19" spans="6:14" x14ac:dyDescent="0.25">
      <c r="F19" s="112" t="s">
        <v>83</v>
      </c>
      <c r="G19" s="112"/>
      <c r="H19" s="115"/>
      <c r="I19" s="115"/>
      <c r="J19" s="115"/>
      <c r="N19" s="70"/>
    </row>
    <row r="20" spans="6:14" x14ac:dyDescent="0.25">
      <c r="F20" s="112" t="s">
        <v>84</v>
      </c>
      <c r="G20" s="112"/>
      <c r="H20" s="115"/>
      <c r="I20" s="115"/>
      <c r="J20" s="115"/>
      <c r="N20" s="70"/>
    </row>
    <row r="21" spans="6:14" x14ac:dyDescent="0.25">
      <c r="N21" s="70"/>
    </row>
    <row r="22" spans="6:14" x14ac:dyDescent="0.25">
      <c r="N22" s="70"/>
    </row>
    <row r="23" spans="6:14" x14ac:dyDescent="0.25">
      <c r="N23" s="70"/>
    </row>
    <row r="24" spans="6:14" x14ac:dyDescent="0.25">
      <c r="N24" s="70"/>
    </row>
    <row r="25" spans="6:14" x14ac:dyDescent="0.25">
      <c r="N25" s="70"/>
    </row>
    <row r="26" spans="6:14" x14ac:dyDescent="0.25">
      <c r="N26" s="70"/>
    </row>
    <row r="27" spans="6:14" x14ac:dyDescent="0.25">
      <c r="N27" s="70"/>
    </row>
    <row r="28" spans="6:14" x14ac:dyDescent="0.25">
      <c r="N28" s="70"/>
    </row>
    <row r="29" spans="6:14" x14ac:dyDescent="0.25">
      <c r="N29" s="70"/>
    </row>
    <row r="30" spans="6:14" x14ac:dyDescent="0.25">
      <c r="N30" s="70"/>
    </row>
    <row r="31" spans="6:14" x14ac:dyDescent="0.25">
      <c r="N31" s="70"/>
    </row>
    <row r="32" spans="6:14" x14ac:dyDescent="0.25">
      <c r="N32" s="70"/>
    </row>
    <row r="33" spans="14:14" x14ac:dyDescent="0.25">
      <c r="N33" s="70"/>
    </row>
    <row r="34" spans="14:14" x14ac:dyDescent="0.25">
      <c r="N34" s="70"/>
    </row>
    <row r="35" spans="14:14" x14ac:dyDescent="0.25">
      <c r="N35" s="70"/>
    </row>
    <row r="36" spans="14:14" x14ac:dyDescent="0.25">
      <c r="N36" s="70"/>
    </row>
    <row r="37" spans="14:14" x14ac:dyDescent="0.25">
      <c r="N37" s="70"/>
    </row>
    <row r="38" spans="14:14" x14ac:dyDescent="0.25">
      <c r="N38" s="70"/>
    </row>
    <row r="39" spans="14:14" x14ac:dyDescent="0.25">
      <c r="N39" s="70"/>
    </row>
    <row r="40" spans="14:14" x14ac:dyDescent="0.25">
      <c r="N40" s="70"/>
    </row>
    <row r="41" spans="14:14" x14ac:dyDescent="0.25">
      <c r="N41" s="70"/>
    </row>
    <row r="42" spans="14:14" x14ac:dyDescent="0.25">
      <c r="N42" s="70"/>
    </row>
    <row r="43" spans="14:14" x14ac:dyDescent="0.25">
      <c r="N43" s="70"/>
    </row>
    <row r="44" spans="14:14" x14ac:dyDescent="0.25">
      <c r="N44" s="70"/>
    </row>
    <row r="45" spans="14:14" x14ac:dyDescent="0.25">
      <c r="N45" s="70"/>
    </row>
    <row r="46" spans="14:14" x14ac:dyDescent="0.25">
      <c r="N46" s="70"/>
    </row>
    <row r="47" spans="14:14" x14ac:dyDescent="0.25">
      <c r="N47" s="70"/>
    </row>
    <row r="48" spans="14:14" x14ac:dyDescent="0.25">
      <c r="N48" s="70"/>
    </row>
    <row r="49" spans="14:14" x14ac:dyDescent="0.25">
      <c r="N49" s="70"/>
    </row>
    <row r="50" spans="14:14" x14ac:dyDescent="0.25">
      <c r="N50" s="70"/>
    </row>
    <row r="51" spans="14:14" x14ac:dyDescent="0.25">
      <c r="N51" s="70"/>
    </row>
    <row r="52" spans="14:14" x14ac:dyDescent="0.25">
      <c r="N52" s="70"/>
    </row>
    <row r="53" spans="14:14" x14ac:dyDescent="0.25">
      <c r="N53" s="70"/>
    </row>
    <row r="54" spans="14:14" x14ac:dyDescent="0.25">
      <c r="N54" s="70"/>
    </row>
    <row r="55" spans="14:14" x14ac:dyDescent="0.25">
      <c r="N55" s="70"/>
    </row>
    <row r="56" spans="14:14" x14ac:dyDescent="0.25">
      <c r="N56" s="70"/>
    </row>
    <row r="57" spans="14:14" x14ac:dyDescent="0.25">
      <c r="N57" s="70"/>
    </row>
    <row r="58" spans="14:14" x14ac:dyDescent="0.25">
      <c r="N58" s="70"/>
    </row>
    <row r="59" spans="14:14" x14ac:dyDescent="0.25">
      <c r="N59" s="70"/>
    </row>
    <row r="60" spans="14:14" x14ac:dyDescent="0.25">
      <c r="N60" s="70"/>
    </row>
    <row r="61" spans="14:14" x14ac:dyDescent="0.25">
      <c r="N61" s="70"/>
    </row>
    <row r="62" spans="14:14" x14ac:dyDescent="0.25">
      <c r="N62" s="70"/>
    </row>
    <row r="63" spans="14:14" x14ac:dyDescent="0.25">
      <c r="N63" s="70"/>
    </row>
    <row r="64" spans="14:14" x14ac:dyDescent="0.25">
      <c r="N64" s="70"/>
    </row>
    <row r="65" spans="14:14" x14ac:dyDescent="0.25">
      <c r="N65" s="70"/>
    </row>
    <row r="66" spans="14:14" x14ac:dyDescent="0.25">
      <c r="N66" s="70"/>
    </row>
    <row r="67" spans="14:14" x14ac:dyDescent="0.25">
      <c r="N67" s="70"/>
    </row>
    <row r="68" spans="14:14" x14ac:dyDescent="0.25">
      <c r="N68" s="70"/>
    </row>
    <row r="69" spans="14:14" x14ac:dyDescent="0.25">
      <c r="N69" s="70"/>
    </row>
    <row r="70" spans="14:14" x14ac:dyDescent="0.25">
      <c r="N70" s="70"/>
    </row>
    <row r="71" spans="14:14" x14ac:dyDescent="0.25">
      <c r="N71" s="70"/>
    </row>
    <row r="72" spans="14:14" x14ac:dyDescent="0.25">
      <c r="N72" s="70"/>
    </row>
    <row r="73" spans="14:14" x14ac:dyDescent="0.25">
      <c r="N73" s="70"/>
    </row>
    <row r="74" spans="14:14" x14ac:dyDescent="0.25">
      <c r="N74" s="70"/>
    </row>
    <row r="75" spans="14:14" x14ac:dyDescent="0.25">
      <c r="N75" s="70"/>
    </row>
    <row r="76" spans="14:14" x14ac:dyDescent="0.25">
      <c r="N76" s="70"/>
    </row>
    <row r="77" spans="14:14" x14ac:dyDescent="0.25">
      <c r="N77" s="70"/>
    </row>
    <row r="78" spans="14:14" x14ac:dyDescent="0.25">
      <c r="N78" s="70"/>
    </row>
    <row r="79" spans="14:14" x14ac:dyDescent="0.25">
      <c r="N79" s="70"/>
    </row>
    <row r="80" spans="14:14" x14ac:dyDescent="0.25">
      <c r="N80" s="70"/>
    </row>
    <row r="81" spans="14:14" x14ac:dyDescent="0.25">
      <c r="N81" s="70"/>
    </row>
    <row r="82" spans="14:14" x14ac:dyDescent="0.25">
      <c r="N82" s="70"/>
    </row>
    <row r="83" spans="14:14" x14ac:dyDescent="0.25">
      <c r="N83" s="70"/>
    </row>
    <row r="84" spans="14:14" x14ac:dyDescent="0.25">
      <c r="N84" s="70"/>
    </row>
    <row r="85" spans="14:14" x14ac:dyDescent="0.25">
      <c r="N85" s="70"/>
    </row>
    <row r="86" spans="14:14" x14ac:dyDescent="0.25">
      <c r="N86" s="70"/>
    </row>
    <row r="87" spans="14:14" x14ac:dyDescent="0.25">
      <c r="N87" s="70"/>
    </row>
    <row r="88" spans="14:14" x14ac:dyDescent="0.25">
      <c r="N88" s="70"/>
    </row>
    <row r="89" spans="14:14" x14ac:dyDescent="0.25">
      <c r="N89" s="70"/>
    </row>
    <row r="90" spans="14:14" x14ac:dyDescent="0.25">
      <c r="N90" s="70"/>
    </row>
    <row r="91" spans="14:14" x14ac:dyDescent="0.25">
      <c r="N91" s="70"/>
    </row>
    <row r="92" spans="14:14" x14ac:dyDescent="0.25">
      <c r="N92" s="70"/>
    </row>
    <row r="93" spans="14:14" x14ac:dyDescent="0.25">
      <c r="N93" s="70"/>
    </row>
    <row r="94" spans="14:14" x14ac:dyDescent="0.25">
      <c r="N94" s="70"/>
    </row>
    <row r="95" spans="14:14" x14ac:dyDescent="0.25">
      <c r="N95" s="70"/>
    </row>
    <row r="96" spans="14:14" x14ac:dyDescent="0.25">
      <c r="N96" s="70"/>
    </row>
    <row r="97" spans="14:14" x14ac:dyDescent="0.25">
      <c r="N97" s="70"/>
    </row>
    <row r="98" spans="14:14" x14ac:dyDescent="0.25">
      <c r="N98" s="70"/>
    </row>
    <row r="99" spans="14:14" x14ac:dyDescent="0.25">
      <c r="N99" s="70"/>
    </row>
    <row r="100" spans="14:14" x14ac:dyDescent="0.25">
      <c r="N100" s="70"/>
    </row>
    <row r="101" spans="14:14" x14ac:dyDescent="0.25">
      <c r="N101" s="70"/>
    </row>
    <row r="102" spans="14:14" x14ac:dyDescent="0.25">
      <c r="N102" s="70"/>
    </row>
    <row r="103" spans="14:14" x14ac:dyDescent="0.25">
      <c r="N103" s="70"/>
    </row>
    <row r="104" spans="14:14" x14ac:dyDescent="0.25">
      <c r="N104" s="70"/>
    </row>
    <row r="105" spans="14:14" x14ac:dyDescent="0.25">
      <c r="N105" s="70"/>
    </row>
    <row r="106" spans="14:14" x14ac:dyDescent="0.25">
      <c r="N106" s="70"/>
    </row>
    <row r="107" spans="14:14" x14ac:dyDescent="0.25">
      <c r="N107" s="70"/>
    </row>
    <row r="108" spans="14:14" x14ac:dyDescent="0.25">
      <c r="N108" s="70"/>
    </row>
    <row r="109" spans="14:14" x14ac:dyDescent="0.25">
      <c r="N109" s="70"/>
    </row>
    <row r="110" spans="14:14" x14ac:dyDescent="0.25">
      <c r="N110" s="70"/>
    </row>
    <row r="111" spans="14:14" x14ac:dyDescent="0.25">
      <c r="N111" s="70"/>
    </row>
    <row r="112" spans="14:14" x14ac:dyDescent="0.25">
      <c r="N112" s="70"/>
    </row>
    <row r="113" spans="14:14" x14ac:dyDescent="0.25">
      <c r="N113" s="70"/>
    </row>
    <row r="114" spans="14:14" x14ac:dyDescent="0.25">
      <c r="N114" s="70"/>
    </row>
    <row r="115" spans="14:14" x14ac:dyDescent="0.25">
      <c r="N115" s="70"/>
    </row>
    <row r="116" spans="14:14" x14ac:dyDescent="0.25">
      <c r="N116" s="70"/>
    </row>
    <row r="117" spans="14:14" x14ac:dyDescent="0.25">
      <c r="N117" s="70"/>
    </row>
    <row r="118" spans="14:14" x14ac:dyDescent="0.25">
      <c r="N118" s="70"/>
    </row>
    <row r="119" spans="14:14" x14ac:dyDescent="0.25">
      <c r="N119" s="70"/>
    </row>
    <row r="120" spans="14:14" x14ac:dyDescent="0.25">
      <c r="N120" s="70"/>
    </row>
    <row r="121" spans="14:14" x14ac:dyDescent="0.25">
      <c r="N121" s="70"/>
    </row>
    <row r="122" spans="14:14" x14ac:dyDescent="0.25">
      <c r="N122" s="70"/>
    </row>
    <row r="123" spans="14:14" x14ac:dyDescent="0.25">
      <c r="N123" s="70"/>
    </row>
    <row r="124" spans="14:14" x14ac:dyDescent="0.25">
      <c r="N124" s="70"/>
    </row>
    <row r="125" spans="14:14" x14ac:dyDescent="0.25">
      <c r="N125" s="70"/>
    </row>
    <row r="126" spans="14:14" x14ac:dyDescent="0.25">
      <c r="N126" s="70"/>
    </row>
    <row r="127" spans="14:14" x14ac:dyDescent="0.25">
      <c r="N127" s="70"/>
    </row>
    <row r="128" spans="14:14" x14ac:dyDescent="0.25">
      <c r="N128" s="70"/>
    </row>
    <row r="129" spans="14:14" x14ac:dyDescent="0.25">
      <c r="N129" s="70"/>
    </row>
    <row r="130" spans="14:14" x14ac:dyDescent="0.25">
      <c r="N130" s="70"/>
    </row>
    <row r="131" spans="14:14" x14ac:dyDescent="0.25">
      <c r="N131" s="70"/>
    </row>
    <row r="132" spans="14:14" x14ac:dyDescent="0.25">
      <c r="N132" s="70"/>
    </row>
    <row r="133" spans="14:14" x14ac:dyDescent="0.25">
      <c r="N133" s="70"/>
    </row>
    <row r="134" spans="14:14" x14ac:dyDescent="0.25">
      <c r="N134" s="70"/>
    </row>
    <row r="135" spans="14:14" x14ac:dyDescent="0.25">
      <c r="N135" s="70"/>
    </row>
    <row r="136" spans="14:14" x14ac:dyDescent="0.25">
      <c r="N136" s="70"/>
    </row>
    <row r="137" spans="14:14" x14ac:dyDescent="0.25">
      <c r="N137" s="70"/>
    </row>
    <row r="138" spans="14:14" x14ac:dyDescent="0.25">
      <c r="N138" s="70"/>
    </row>
    <row r="139" spans="14:14" x14ac:dyDescent="0.25">
      <c r="N139" s="70"/>
    </row>
    <row r="140" spans="14:14" x14ac:dyDescent="0.25">
      <c r="N140" s="70"/>
    </row>
    <row r="141" spans="14:14" x14ac:dyDescent="0.25">
      <c r="N141" s="70"/>
    </row>
    <row r="142" spans="14:14" x14ac:dyDescent="0.25">
      <c r="N142" s="70"/>
    </row>
    <row r="143" spans="14:14" x14ac:dyDescent="0.25">
      <c r="N143" s="70"/>
    </row>
    <row r="144" spans="14:14" x14ac:dyDescent="0.25">
      <c r="N144" s="70"/>
    </row>
    <row r="145" spans="14:14" x14ac:dyDescent="0.25">
      <c r="N145" s="70"/>
    </row>
    <row r="146" spans="14:14" x14ac:dyDescent="0.25">
      <c r="N146" s="70"/>
    </row>
    <row r="147" spans="14:14" x14ac:dyDescent="0.25">
      <c r="N147" s="70"/>
    </row>
    <row r="148" spans="14:14" x14ac:dyDescent="0.25">
      <c r="N148" s="70"/>
    </row>
    <row r="149" spans="14:14" x14ac:dyDescent="0.25">
      <c r="N149" s="70"/>
    </row>
    <row r="150" spans="14:14" x14ac:dyDescent="0.25">
      <c r="N150" s="70"/>
    </row>
    <row r="151" spans="14:14" x14ac:dyDescent="0.25">
      <c r="N151" s="70"/>
    </row>
    <row r="152" spans="14:14" x14ac:dyDescent="0.25">
      <c r="N152" s="70"/>
    </row>
    <row r="153" spans="14:14" x14ac:dyDescent="0.25">
      <c r="N153" s="70"/>
    </row>
    <row r="154" spans="14:14" x14ac:dyDescent="0.25">
      <c r="N154" s="70"/>
    </row>
    <row r="155" spans="14:14" x14ac:dyDescent="0.25">
      <c r="N155" s="70"/>
    </row>
    <row r="156" spans="14:14" x14ac:dyDescent="0.25">
      <c r="N156" s="70"/>
    </row>
    <row r="157" spans="14:14" x14ac:dyDescent="0.25">
      <c r="N157" s="70"/>
    </row>
    <row r="158" spans="14:14" x14ac:dyDescent="0.25">
      <c r="N158" s="70"/>
    </row>
    <row r="159" spans="14:14" x14ac:dyDescent="0.25">
      <c r="N159" s="70"/>
    </row>
    <row r="160" spans="14:14" x14ac:dyDescent="0.25">
      <c r="N160" s="70"/>
    </row>
    <row r="161" spans="14:14" x14ac:dyDescent="0.25">
      <c r="N161" s="70"/>
    </row>
    <row r="162" spans="14:14" x14ac:dyDescent="0.25">
      <c r="N162" s="70"/>
    </row>
    <row r="163" spans="14:14" x14ac:dyDescent="0.25">
      <c r="N163" s="70"/>
    </row>
    <row r="164" spans="14:14" x14ac:dyDescent="0.25">
      <c r="N164" s="70"/>
    </row>
    <row r="165" spans="14:14" x14ac:dyDescent="0.25">
      <c r="N165" s="70"/>
    </row>
    <row r="166" spans="14:14" x14ac:dyDescent="0.25">
      <c r="N166" s="70"/>
    </row>
    <row r="167" spans="14:14" x14ac:dyDescent="0.25">
      <c r="N167" s="70"/>
    </row>
    <row r="168" spans="14:14" x14ac:dyDescent="0.25">
      <c r="N168" s="70"/>
    </row>
    <row r="169" spans="14:14" x14ac:dyDescent="0.25">
      <c r="N169" s="70"/>
    </row>
    <row r="170" spans="14:14" x14ac:dyDescent="0.25">
      <c r="N170" s="70"/>
    </row>
    <row r="171" spans="14:14" x14ac:dyDescent="0.25">
      <c r="N171" s="70"/>
    </row>
    <row r="172" spans="14:14" x14ac:dyDescent="0.25">
      <c r="N172" s="70"/>
    </row>
    <row r="173" spans="14:14" x14ac:dyDescent="0.25">
      <c r="N173" s="70"/>
    </row>
    <row r="174" spans="14:14" x14ac:dyDescent="0.25">
      <c r="N174" s="70"/>
    </row>
    <row r="175" spans="14:14" x14ac:dyDescent="0.25">
      <c r="N175" s="70"/>
    </row>
    <row r="176" spans="14:14" x14ac:dyDescent="0.25">
      <c r="N176" s="70"/>
    </row>
    <row r="177" spans="14:14" x14ac:dyDescent="0.25">
      <c r="N177" s="70"/>
    </row>
    <row r="178" spans="14:14" x14ac:dyDescent="0.25">
      <c r="N178" s="70"/>
    </row>
    <row r="179" spans="14:14" x14ac:dyDescent="0.25">
      <c r="N179" s="70"/>
    </row>
    <row r="180" spans="14:14" x14ac:dyDescent="0.25">
      <c r="N180" s="70"/>
    </row>
    <row r="181" spans="14:14" x14ac:dyDescent="0.25">
      <c r="N181" s="70"/>
    </row>
    <row r="182" spans="14:14" x14ac:dyDescent="0.25">
      <c r="N182" s="70"/>
    </row>
    <row r="183" spans="14:14" x14ac:dyDescent="0.25">
      <c r="N183" s="70"/>
    </row>
    <row r="184" spans="14:14" x14ac:dyDescent="0.25">
      <c r="N184" s="70"/>
    </row>
    <row r="185" spans="14:14" x14ac:dyDescent="0.25">
      <c r="N185" s="70"/>
    </row>
    <row r="186" spans="14:14" x14ac:dyDescent="0.25">
      <c r="N186" s="70"/>
    </row>
    <row r="187" spans="14:14" x14ac:dyDescent="0.25">
      <c r="N187" s="70"/>
    </row>
    <row r="188" spans="14:14" x14ac:dyDescent="0.25">
      <c r="N188" s="70"/>
    </row>
    <row r="189" spans="14:14" x14ac:dyDescent="0.25">
      <c r="N189" s="70"/>
    </row>
    <row r="190" spans="14:14" x14ac:dyDescent="0.25">
      <c r="N190" s="70"/>
    </row>
    <row r="191" spans="14:14" x14ac:dyDescent="0.25">
      <c r="N191" s="70"/>
    </row>
    <row r="192" spans="14:14" x14ac:dyDescent="0.25">
      <c r="N192" s="70"/>
    </row>
    <row r="193" spans="14:14" x14ac:dyDescent="0.25">
      <c r="N193" s="70"/>
    </row>
    <row r="194" spans="14:14" x14ac:dyDescent="0.25">
      <c r="N194" s="70"/>
    </row>
    <row r="195" spans="14:14" x14ac:dyDescent="0.25">
      <c r="N195" s="70"/>
    </row>
    <row r="196" spans="14:14" x14ac:dyDescent="0.25">
      <c r="N196" s="70"/>
    </row>
    <row r="197" spans="14:14" x14ac:dyDescent="0.25">
      <c r="N197" s="70"/>
    </row>
    <row r="198" spans="14:14" x14ac:dyDescent="0.25">
      <c r="N198" s="70"/>
    </row>
    <row r="199" spans="14:14" x14ac:dyDescent="0.25">
      <c r="N199" s="70"/>
    </row>
    <row r="200" spans="14:14" x14ac:dyDescent="0.25">
      <c r="N200" s="70"/>
    </row>
    <row r="201" spans="14:14" x14ac:dyDescent="0.25">
      <c r="N201" s="70"/>
    </row>
    <row r="202" spans="14:14" x14ac:dyDescent="0.25">
      <c r="N202" s="70"/>
    </row>
    <row r="203" spans="14:14" x14ac:dyDescent="0.25">
      <c r="N203" s="70"/>
    </row>
    <row r="204" spans="14:14" x14ac:dyDescent="0.25">
      <c r="N204" s="70"/>
    </row>
    <row r="205" spans="14:14" x14ac:dyDescent="0.25">
      <c r="N205" s="70"/>
    </row>
    <row r="206" spans="14:14" x14ac:dyDescent="0.25">
      <c r="N206" s="70"/>
    </row>
    <row r="207" spans="14:14" x14ac:dyDescent="0.25">
      <c r="N207" s="70"/>
    </row>
    <row r="208" spans="14:14" x14ac:dyDescent="0.25">
      <c r="N208" s="70"/>
    </row>
    <row r="209" spans="14:14" x14ac:dyDescent="0.25">
      <c r="N209" s="70"/>
    </row>
    <row r="210" spans="14:14" x14ac:dyDescent="0.25">
      <c r="N210" s="70"/>
    </row>
    <row r="211" spans="14:14" x14ac:dyDescent="0.25">
      <c r="N211" s="70"/>
    </row>
    <row r="212" spans="14:14" x14ac:dyDescent="0.25">
      <c r="N212" s="70"/>
    </row>
    <row r="213" spans="14:14" x14ac:dyDescent="0.25">
      <c r="N213" s="70"/>
    </row>
    <row r="214" spans="14:14" x14ac:dyDescent="0.25">
      <c r="N214" s="70"/>
    </row>
    <row r="215" spans="14:14" x14ac:dyDescent="0.25">
      <c r="N215" s="70"/>
    </row>
    <row r="216" spans="14:14" x14ac:dyDescent="0.25">
      <c r="N216" s="70"/>
    </row>
    <row r="217" spans="14:14" x14ac:dyDescent="0.25">
      <c r="N217" s="70"/>
    </row>
    <row r="218" spans="14:14" x14ac:dyDescent="0.25">
      <c r="N218" s="70"/>
    </row>
    <row r="219" spans="14:14" x14ac:dyDescent="0.25">
      <c r="N219" s="70"/>
    </row>
    <row r="220" spans="14:14" x14ac:dyDescent="0.25">
      <c r="N220" s="70"/>
    </row>
    <row r="221" spans="14:14" x14ac:dyDescent="0.25">
      <c r="N221" s="70"/>
    </row>
    <row r="222" spans="14:14" x14ac:dyDescent="0.25">
      <c r="N222" s="70"/>
    </row>
    <row r="223" spans="14:14" x14ac:dyDescent="0.25">
      <c r="N223" s="70"/>
    </row>
    <row r="224" spans="14:14" x14ac:dyDescent="0.25">
      <c r="N224" s="70"/>
    </row>
    <row r="225" spans="14:14" x14ac:dyDescent="0.25">
      <c r="N225" s="70"/>
    </row>
    <row r="226" spans="14:14" x14ac:dyDescent="0.25">
      <c r="N226" s="70"/>
    </row>
    <row r="227" spans="14:14" x14ac:dyDescent="0.25">
      <c r="N227" s="70"/>
    </row>
    <row r="228" spans="14:14" x14ac:dyDescent="0.25">
      <c r="N228" s="70"/>
    </row>
    <row r="229" spans="14:14" x14ac:dyDescent="0.25">
      <c r="N229" s="70"/>
    </row>
    <row r="230" spans="14:14" x14ac:dyDescent="0.25">
      <c r="N230" s="70"/>
    </row>
    <row r="231" spans="14:14" x14ac:dyDescent="0.25">
      <c r="N231" s="70"/>
    </row>
    <row r="232" spans="14:14" x14ac:dyDescent="0.25">
      <c r="N232" s="70"/>
    </row>
    <row r="233" spans="14:14" x14ac:dyDescent="0.25">
      <c r="N233" s="70"/>
    </row>
    <row r="234" spans="14:14" x14ac:dyDescent="0.25">
      <c r="N234" s="70"/>
    </row>
    <row r="235" spans="14:14" x14ac:dyDescent="0.25">
      <c r="N235" s="70"/>
    </row>
    <row r="236" spans="14:14" x14ac:dyDescent="0.25">
      <c r="N236" s="70"/>
    </row>
    <row r="237" spans="14:14" x14ac:dyDescent="0.25">
      <c r="N237" s="70"/>
    </row>
    <row r="238" spans="14:14" x14ac:dyDescent="0.25">
      <c r="N238" s="70"/>
    </row>
    <row r="239" spans="14:14" x14ac:dyDescent="0.25">
      <c r="N239" s="70"/>
    </row>
    <row r="240" spans="14:14" x14ac:dyDescent="0.25">
      <c r="N240" s="70"/>
    </row>
    <row r="241" spans="14:14" x14ac:dyDescent="0.25">
      <c r="N241" s="70"/>
    </row>
    <row r="242" spans="14:14" x14ac:dyDescent="0.25">
      <c r="N242" s="70"/>
    </row>
    <row r="243" spans="14:14" x14ac:dyDescent="0.25">
      <c r="N243" s="70"/>
    </row>
    <row r="244" spans="14:14" x14ac:dyDescent="0.25">
      <c r="N244" s="70"/>
    </row>
    <row r="245" spans="14:14" x14ac:dyDescent="0.25">
      <c r="N245" s="70"/>
    </row>
    <row r="246" spans="14:14" x14ac:dyDescent="0.25">
      <c r="N246" s="70"/>
    </row>
    <row r="247" spans="14:14" x14ac:dyDescent="0.25">
      <c r="N247" s="70"/>
    </row>
    <row r="248" spans="14:14" x14ac:dyDescent="0.25">
      <c r="N248" s="70"/>
    </row>
    <row r="249" spans="14:14" x14ac:dyDescent="0.25">
      <c r="N249" s="70"/>
    </row>
    <row r="250" spans="14:14" x14ac:dyDescent="0.25">
      <c r="N250" s="70"/>
    </row>
    <row r="251" spans="14:14" x14ac:dyDescent="0.25">
      <c r="N251" s="70"/>
    </row>
    <row r="252" spans="14:14" x14ac:dyDescent="0.25">
      <c r="N252" s="70"/>
    </row>
    <row r="253" spans="14:14" x14ac:dyDescent="0.25">
      <c r="N253" s="70"/>
    </row>
    <row r="254" spans="14:14" x14ac:dyDescent="0.25">
      <c r="N254" s="70"/>
    </row>
    <row r="255" spans="14:14" x14ac:dyDescent="0.25">
      <c r="N255" s="70"/>
    </row>
    <row r="256" spans="14:14" x14ac:dyDescent="0.25">
      <c r="N256" s="70"/>
    </row>
    <row r="257" spans="14:14" x14ac:dyDescent="0.25">
      <c r="N257" s="70"/>
    </row>
    <row r="258" spans="14:14" x14ac:dyDescent="0.25">
      <c r="N258" s="70"/>
    </row>
    <row r="259" spans="14:14" x14ac:dyDescent="0.25">
      <c r="N259" s="70"/>
    </row>
    <row r="260" spans="14:14" x14ac:dyDescent="0.25">
      <c r="N260" s="70"/>
    </row>
    <row r="261" spans="14:14" x14ac:dyDescent="0.25">
      <c r="N261" s="70"/>
    </row>
    <row r="262" spans="14:14" x14ac:dyDescent="0.25">
      <c r="N262" s="70"/>
    </row>
    <row r="263" spans="14:14" x14ac:dyDescent="0.25">
      <c r="N263" s="70"/>
    </row>
    <row r="264" spans="14:14" x14ac:dyDescent="0.25">
      <c r="N264" s="70"/>
    </row>
    <row r="265" spans="14:14" x14ac:dyDescent="0.25">
      <c r="N265" s="70"/>
    </row>
    <row r="266" spans="14:14" x14ac:dyDescent="0.25">
      <c r="N266" s="70"/>
    </row>
    <row r="267" spans="14:14" x14ac:dyDescent="0.25">
      <c r="N267" s="70"/>
    </row>
    <row r="268" spans="14:14" x14ac:dyDescent="0.25">
      <c r="N268" s="70"/>
    </row>
    <row r="269" spans="14:14" x14ac:dyDescent="0.25">
      <c r="N269" s="70"/>
    </row>
    <row r="270" spans="14:14" x14ac:dyDescent="0.25">
      <c r="N270" s="70"/>
    </row>
    <row r="271" spans="14:14" x14ac:dyDescent="0.25">
      <c r="N271" s="70"/>
    </row>
    <row r="272" spans="14:14" x14ac:dyDescent="0.25">
      <c r="N272" s="70"/>
    </row>
    <row r="273" spans="14:14" x14ac:dyDescent="0.25">
      <c r="N273" s="70"/>
    </row>
    <row r="274" spans="14:14" x14ac:dyDescent="0.25">
      <c r="N274" s="70"/>
    </row>
    <row r="275" spans="14:14" x14ac:dyDescent="0.25">
      <c r="N275" s="70"/>
    </row>
    <row r="276" spans="14:14" x14ac:dyDescent="0.25">
      <c r="N276" s="70"/>
    </row>
    <row r="277" spans="14:14" x14ac:dyDescent="0.25">
      <c r="N277" s="70"/>
    </row>
    <row r="278" spans="14:14" x14ac:dyDescent="0.25">
      <c r="N278" s="70"/>
    </row>
    <row r="279" spans="14:14" x14ac:dyDescent="0.25">
      <c r="N279" s="70"/>
    </row>
    <row r="280" spans="14:14" x14ac:dyDescent="0.25">
      <c r="N280" s="70"/>
    </row>
    <row r="281" spans="14:14" x14ac:dyDescent="0.25">
      <c r="N281" s="70"/>
    </row>
    <row r="282" spans="14:14" x14ac:dyDescent="0.25">
      <c r="N282" s="70"/>
    </row>
    <row r="283" spans="14:14" x14ac:dyDescent="0.25">
      <c r="N283" s="70"/>
    </row>
    <row r="284" spans="14:14" x14ac:dyDescent="0.25">
      <c r="N284" s="70"/>
    </row>
    <row r="285" spans="14:14" x14ac:dyDescent="0.25">
      <c r="N285" s="70"/>
    </row>
    <row r="286" spans="14:14" x14ac:dyDescent="0.25">
      <c r="N286" s="70"/>
    </row>
    <row r="287" spans="14:14" x14ac:dyDescent="0.25">
      <c r="N287" s="70"/>
    </row>
    <row r="288" spans="14:14" x14ac:dyDescent="0.25">
      <c r="N288" s="70"/>
    </row>
    <row r="289" spans="14:14" x14ac:dyDescent="0.25">
      <c r="N289" s="70"/>
    </row>
    <row r="290" spans="14:14" x14ac:dyDescent="0.25">
      <c r="N290" s="70"/>
    </row>
    <row r="291" spans="14:14" x14ac:dyDescent="0.25">
      <c r="N291" s="70"/>
    </row>
    <row r="292" spans="14:14" x14ac:dyDescent="0.25">
      <c r="N292" s="70"/>
    </row>
    <row r="293" spans="14:14" x14ac:dyDescent="0.25">
      <c r="N293" s="70"/>
    </row>
    <row r="294" spans="14:14" x14ac:dyDescent="0.25">
      <c r="N294" s="70"/>
    </row>
    <row r="295" spans="14:14" x14ac:dyDescent="0.25">
      <c r="N295" s="70"/>
    </row>
    <row r="296" spans="14:14" x14ac:dyDescent="0.25">
      <c r="N296" s="70"/>
    </row>
    <row r="297" spans="14:14" x14ac:dyDescent="0.25">
      <c r="N297" s="70"/>
    </row>
    <row r="298" spans="14:14" x14ac:dyDescent="0.25">
      <c r="N298" s="70"/>
    </row>
    <row r="299" spans="14:14" x14ac:dyDescent="0.25">
      <c r="N299" s="70"/>
    </row>
    <row r="300" spans="14:14" x14ac:dyDescent="0.25">
      <c r="N300" s="70"/>
    </row>
    <row r="301" spans="14:14" x14ac:dyDescent="0.25">
      <c r="N301" s="70"/>
    </row>
    <row r="302" spans="14:14" x14ac:dyDescent="0.25">
      <c r="N302" s="70"/>
    </row>
    <row r="303" spans="14:14" x14ac:dyDescent="0.25">
      <c r="N303" s="70"/>
    </row>
    <row r="304" spans="14:14" x14ac:dyDescent="0.25">
      <c r="N304" s="70"/>
    </row>
    <row r="305" spans="14:14" x14ac:dyDescent="0.25">
      <c r="N305" s="70"/>
    </row>
    <row r="306" spans="14:14" x14ac:dyDescent="0.25">
      <c r="N306" s="70"/>
    </row>
    <row r="307" spans="14:14" x14ac:dyDescent="0.25">
      <c r="N307" s="70"/>
    </row>
    <row r="308" spans="14:14" x14ac:dyDescent="0.25">
      <c r="N308" s="70"/>
    </row>
    <row r="309" spans="14:14" x14ac:dyDescent="0.25">
      <c r="N309" s="70"/>
    </row>
    <row r="310" spans="14:14" x14ac:dyDescent="0.25">
      <c r="N310" s="70"/>
    </row>
    <row r="311" spans="14:14" x14ac:dyDescent="0.25">
      <c r="N311" s="70"/>
    </row>
    <row r="312" spans="14:14" x14ac:dyDescent="0.25">
      <c r="N312" s="70"/>
    </row>
    <row r="313" spans="14:14" x14ac:dyDescent="0.25">
      <c r="N313" s="70"/>
    </row>
    <row r="314" spans="14:14" x14ac:dyDescent="0.25">
      <c r="N314" s="70"/>
    </row>
    <row r="315" spans="14:14" x14ac:dyDescent="0.25">
      <c r="N315" s="70"/>
    </row>
    <row r="316" spans="14:14" x14ac:dyDescent="0.25">
      <c r="N316" s="70"/>
    </row>
    <row r="317" spans="14:14" x14ac:dyDescent="0.25">
      <c r="N317" s="70"/>
    </row>
    <row r="318" spans="14:14" x14ac:dyDescent="0.25">
      <c r="N318" s="70"/>
    </row>
    <row r="319" spans="14:14" x14ac:dyDescent="0.25">
      <c r="N319" s="70"/>
    </row>
    <row r="320" spans="14:14" x14ac:dyDescent="0.25">
      <c r="N320" s="70"/>
    </row>
    <row r="321" spans="14:14" x14ac:dyDescent="0.25">
      <c r="N321" s="70"/>
    </row>
    <row r="322" spans="14:14" x14ac:dyDescent="0.25">
      <c r="N322" s="70"/>
    </row>
    <row r="323" spans="14:14" x14ac:dyDescent="0.25">
      <c r="N323" s="70"/>
    </row>
    <row r="324" spans="14:14" x14ac:dyDescent="0.25">
      <c r="N324" s="70"/>
    </row>
    <row r="325" spans="14:14" x14ac:dyDescent="0.25">
      <c r="N325" s="70"/>
    </row>
    <row r="326" spans="14:14" x14ac:dyDescent="0.25">
      <c r="N326" s="70"/>
    </row>
    <row r="327" spans="14:14" x14ac:dyDescent="0.25">
      <c r="N327" s="70"/>
    </row>
    <row r="328" spans="14:14" x14ac:dyDescent="0.25">
      <c r="N328" s="70"/>
    </row>
    <row r="329" spans="14:14" x14ac:dyDescent="0.25">
      <c r="N329" s="70"/>
    </row>
    <row r="330" spans="14:14" x14ac:dyDescent="0.25">
      <c r="N330" s="70"/>
    </row>
    <row r="331" spans="14:14" x14ac:dyDescent="0.25">
      <c r="N331" s="70"/>
    </row>
    <row r="332" spans="14:14" x14ac:dyDescent="0.25">
      <c r="N332" s="70"/>
    </row>
    <row r="333" spans="14:14" x14ac:dyDescent="0.25">
      <c r="N333" s="70"/>
    </row>
    <row r="334" spans="14:14" x14ac:dyDescent="0.25">
      <c r="N334" s="70"/>
    </row>
    <row r="335" spans="14:14" x14ac:dyDescent="0.25">
      <c r="N335" s="70"/>
    </row>
    <row r="336" spans="14:14" x14ac:dyDescent="0.25">
      <c r="N336" s="70"/>
    </row>
    <row r="337" spans="14:14" x14ac:dyDescent="0.25">
      <c r="N337" s="70"/>
    </row>
    <row r="338" spans="14:14" x14ac:dyDescent="0.25">
      <c r="N338" s="70"/>
    </row>
    <row r="339" spans="14:14" x14ac:dyDescent="0.25">
      <c r="N339" s="70"/>
    </row>
    <row r="340" spans="14:14" x14ac:dyDescent="0.25">
      <c r="N340" s="70"/>
    </row>
    <row r="341" spans="14:14" x14ac:dyDescent="0.25">
      <c r="N341" s="70"/>
    </row>
    <row r="342" spans="14:14" x14ac:dyDescent="0.25">
      <c r="N342" s="70"/>
    </row>
    <row r="343" spans="14:14" x14ac:dyDescent="0.25">
      <c r="N343" s="70"/>
    </row>
    <row r="344" spans="14:14" x14ac:dyDescent="0.25">
      <c r="N344" s="70"/>
    </row>
    <row r="345" spans="14:14" x14ac:dyDescent="0.25">
      <c r="N345" s="70"/>
    </row>
    <row r="346" spans="14:14" x14ac:dyDescent="0.25">
      <c r="N346" s="70"/>
    </row>
    <row r="347" spans="14:14" x14ac:dyDescent="0.25">
      <c r="N347" s="70"/>
    </row>
    <row r="348" spans="14:14" x14ac:dyDescent="0.25">
      <c r="N348" s="70"/>
    </row>
    <row r="349" spans="14:14" x14ac:dyDescent="0.25">
      <c r="N349" s="70"/>
    </row>
    <row r="350" spans="14:14" x14ac:dyDescent="0.25">
      <c r="N350" s="70"/>
    </row>
    <row r="351" spans="14:14" x14ac:dyDescent="0.25">
      <c r="N351" s="70"/>
    </row>
    <row r="352" spans="14:14" x14ac:dyDescent="0.25">
      <c r="N352" s="70"/>
    </row>
    <row r="353" spans="14:14" x14ac:dyDescent="0.25">
      <c r="N353" s="70"/>
    </row>
    <row r="354" spans="14:14" x14ac:dyDescent="0.25">
      <c r="N354" s="70"/>
    </row>
    <row r="355" spans="14:14" x14ac:dyDescent="0.25">
      <c r="N355" s="70"/>
    </row>
    <row r="356" spans="14:14" x14ac:dyDescent="0.25">
      <c r="N356" s="70"/>
    </row>
    <row r="357" spans="14:14" x14ac:dyDescent="0.25">
      <c r="N357" s="70"/>
    </row>
    <row r="358" spans="14:14" x14ac:dyDescent="0.25">
      <c r="N358" s="70"/>
    </row>
    <row r="359" spans="14:14" x14ac:dyDescent="0.25">
      <c r="N359" s="70"/>
    </row>
    <row r="360" spans="14:14" x14ac:dyDescent="0.25">
      <c r="N360" s="70"/>
    </row>
    <row r="361" spans="14:14" x14ac:dyDescent="0.25">
      <c r="N361" s="70"/>
    </row>
    <row r="362" spans="14:14" x14ac:dyDescent="0.25">
      <c r="N362" s="70"/>
    </row>
    <row r="363" spans="14:14" x14ac:dyDescent="0.25">
      <c r="N363" s="70"/>
    </row>
    <row r="364" spans="14:14" x14ac:dyDescent="0.25">
      <c r="N364" s="70"/>
    </row>
    <row r="365" spans="14:14" x14ac:dyDescent="0.25">
      <c r="N365" s="70"/>
    </row>
    <row r="366" spans="14:14" x14ac:dyDescent="0.25">
      <c r="N366" s="70"/>
    </row>
    <row r="367" spans="14:14" x14ac:dyDescent="0.25">
      <c r="N367" s="70"/>
    </row>
    <row r="368" spans="14:14" x14ac:dyDescent="0.25">
      <c r="N368" s="70"/>
    </row>
    <row r="369" spans="14:14" x14ac:dyDescent="0.25">
      <c r="N369" s="70"/>
    </row>
    <row r="370" spans="14:14" x14ac:dyDescent="0.25">
      <c r="N370" s="70"/>
    </row>
    <row r="371" spans="14:14" x14ac:dyDescent="0.25">
      <c r="N371" s="70"/>
    </row>
    <row r="372" spans="14:14" x14ac:dyDescent="0.25">
      <c r="N372" s="70"/>
    </row>
    <row r="373" spans="14:14" x14ac:dyDescent="0.25">
      <c r="N373" s="70"/>
    </row>
    <row r="374" spans="14:14" x14ac:dyDescent="0.25">
      <c r="N374" s="70"/>
    </row>
    <row r="375" spans="14:14" x14ac:dyDescent="0.25">
      <c r="N375" s="70"/>
    </row>
    <row r="376" spans="14:14" x14ac:dyDescent="0.25">
      <c r="N376" s="70"/>
    </row>
    <row r="377" spans="14:14" x14ac:dyDescent="0.25">
      <c r="N377" s="70"/>
    </row>
    <row r="378" spans="14:14" x14ac:dyDescent="0.25">
      <c r="N378" s="70"/>
    </row>
    <row r="379" spans="14:14" x14ac:dyDescent="0.25">
      <c r="N379" s="70"/>
    </row>
    <row r="380" spans="14:14" x14ac:dyDescent="0.25">
      <c r="N380" s="70"/>
    </row>
    <row r="381" spans="14:14" x14ac:dyDescent="0.25">
      <c r="N381" s="70"/>
    </row>
    <row r="382" spans="14:14" x14ac:dyDescent="0.25">
      <c r="N382" s="70"/>
    </row>
    <row r="383" spans="14:14" x14ac:dyDescent="0.25">
      <c r="N383" s="70"/>
    </row>
    <row r="384" spans="14:14" x14ac:dyDescent="0.25">
      <c r="N384" s="70"/>
    </row>
    <row r="385" spans="14:14" x14ac:dyDescent="0.25">
      <c r="N385" s="70"/>
    </row>
    <row r="386" spans="14:14" x14ac:dyDescent="0.25">
      <c r="N386" s="70"/>
    </row>
    <row r="387" spans="14:14" x14ac:dyDescent="0.25">
      <c r="N387" s="70"/>
    </row>
    <row r="388" spans="14:14" x14ac:dyDescent="0.25">
      <c r="N388" s="70"/>
    </row>
    <row r="389" spans="14:14" x14ac:dyDescent="0.25">
      <c r="N389" s="70"/>
    </row>
    <row r="390" spans="14:14" x14ac:dyDescent="0.25">
      <c r="N390" s="70"/>
    </row>
    <row r="391" spans="14:14" x14ac:dyDescent="0.25">
      <c r="N391" s="70"/>
    </row>
    <row r="392" spans="14:14" x14ac:dyDescent="0.25">
      <c r="N392" s="70"/>
    </row>
    <row r="393" spans="14:14" x14ac:dyDescent="0.25">
      <c r="N393" s="70"/>
    </row>
    <row r="394" spans="14:14" x14ac:dyDescent="0.25">
      <c r="N394" s="70"/>
    </row>
    <row r="395" spans="14:14" x14ac:dyDescent="0.25">
      <c r="N395" s="70"/>
    </row>
    <row r="396" spans="14:14" x14ac:dyDescent="0.25">
      <c r="N396" s="70"/>
    </row>
    <row r="397" spans="14:14" x14ac:dyDescent="0.25">
      <c r="N397" s="70"/>
    </row>
    <row r="398" spans="14:14" x14ac:dyDescent="0.25">
      <c r="N398" s="70"/>
    </row>
    <row r="399" spans="14:14" x14ac:dyDescent="0.25">
      <c r="N399" s="70"/>
    </row>
    <row r="400" spans="14:14" x14ac:dyDescent="0.25">
      <c r="N400" s="70"/>
    </row>
    <row r="401" spans="14:14" x14ac:dyDescent="0.25">
      <c r="N401" s="70"/>
    </row>
    <row r="402" spans="14:14" x14ac:dyDescent="0.25">
      <c r="N402" s="70"/>
    </row>
    <row r="403" spans="14:14" x14ac:dyDescent="0.25">
      <c r="N403" s="70"/>
    </row>
    <row r="404" spans="14:14" x14ac:dyDescent="0.25">
      <c r="N404" s="70"/>
    </row>
    <row r="405" spans="14:14" x14ac:dyDescent="0.25">
      <c r="N405" s="70"/>
    </row>
    <row r="406" spans="14:14" x14ac:dyDescent="0.25">
      <c r="N406" s="70"/>
    </row>
    <row r="407" spans="14:14" x14ac:dyDescent="0.25">
      <c r="N407" s="70"/>
    </row>
    <row r="408" spans="14:14" x14ac:dyDescent="0.25">
      <c r="N408" s="70"/>
    </row>
    <row r="409" spans="14:14" x14ac:dyDescent="0.25">
      <c r="N409" s="70"/>
    </row>
    <row r="410" spans="14:14" x14ac:dyDescent="0.25">
      <c r="N410" s="70"/>
    </row>
    <row r="411" spans="14:14" x14ac:dyDescent="0.25">
      <c r="N411" s="70"/>
    </row>
    <row r="412" spans="14:14" x14ac:dyDescent="0.25">
      <c r="N412" s="70"/>
    </row>
    <row r="413" spans="14:14" x14ac:dyDescent="0.25">
      <c r="N413" s="70"/>
    </row>
    <row r="414" spans="14:14" x14ac:dyDescent="0.25">
      <c r="N414" s="70"/>
    </row>
    <row r="415" spans="14:14" x14ac:dyDescent="0.25">
      <c r="N415" s="70"/>
    </row>
    <row r="416" spans="14:14" x14ac:dyDescent="0.25">
      <c r="N416" s="70"/>
    </row>
    <row r="417" spans="14:14" x14ac:dyDescent="0.25">
      <c r="N417" s="70"/>
    </row>
    <row r="418" spans="14:14" x14ac:dyDescent="0.25">
      <c r="N418" s="70"/>
    </row>
    <row r="419" spans="14:14" x14ac:dyDescent="0.25">
      <c r="N419" s="70"/>
    </row>
    <row r="420" spans="14:14" x14ac:dyDescent="0.25">
      <c r="N420" s="70"/>
    </row>
    <row r="421" spans="14:14" x14ac:dyDescent="0.25">
      <c r="N421" s="70"/>
    </row>
    <row r="422" spans="14:14" x14ac:dyDescent="0.25">
      <c r="N422" s="70"/>
    </row>
    <row r="423" spans="14:14" x14ac:dyDescent="0.25">
      <c r="N423" s="70"/>
    </row>
    <row r="424" spans="14:14" x14ac:dyDescent="0.25">
      <c r="N424" s="70"/>
    </row>
    <row r="425" spans="14:14" x14ac:dyDescent="0.25">
      <c r="N425" s="70"/>
    </row>
    <row r="426" spans="14:14" x14ac:dyDescent="0.25">
      <c r="N426" s="70"/>
    </row>
    <row r="427" spans="14:14" x14ac:dyDescent="0.25">
      <c r="N427" s="70"/>
    </row>
    <row r="428" spans="14:14" x14ac:dyDescent="0.25">
      <c r="N428" s="70"/>
    </row>
    <row r="429" spans="14:14" x14ac:dyDescent="0.25">
      <c r="N429" s="70"/>
    </row>
    <row r="430" spans="14:14" x14ac:dyDescent="0.25">
      <c r="N430" s="70"/>
    </row>
    <row r="431" spans="14:14" x14ac:dyDescent="0.25">
      <c r="N431" s="70"/>
    </row>
    <row r="432" spans="14:14" x14ac:dyDescent="0.25">
      <c r="N432" s="70"/>
    </row>
    <row r="433" spans="14:14" x14ac:dyDescent="0.25">
      <c r="N433" s="70"/>
    </row>
    <row r="434" spans="14:14" x14ac:dyDescent="0.25">
      <c r="N434" s="70"/>
    </row>
    <row r="435" spans="14:14" x14ac:dyDescent="0.25">
      <c r="N435" s="70"/>
    </row>
    <row r="436" spans="14:14" x14ac:dyDescent="0.25">
      <c r="N436" s="70"/>
    </row>
    <row r="437" spans="14:14" x14ac:dyDescent="0.25">
      <c r="N437" s="70"/>
    </row>
    <row r="438" spans="14:14" x14ac:dyDescent="0.25">
      <c r="N438" s="70"/>
    </row>
    <row r="439" spans="14:14" x14ac:dyDescent="0.25">
      <c r="N439" s="70"/>
    </row>
    <row r="440" spans="14:14" x14ac:dyDescent="0.25">
      <c r="N440" s="70"/>
    </row>
    <row r="441" spans="14:14" x14ac:dyDescent="0.25">
      <c r="N441" s="70"/>
    </row>
    <row r="442" spans="14:14" x14ac:dyDescent="0.25">
      <c r="N442" s="70"/>
    </row>
    <row r="443" spans="14:14" x14ac:dyDescent="0.25">
      <c r="N443" s="70"/>
    </row>
    <row r="444" spans="14:14" x14ac:dyDescent="0.25">
      <c r="N444" s="70"/>
    </row>
    <row r="445" spans="14:14" x14ac:dyDescent="0.25">
      <c r="N445" s="70"/>
    </row>
    <row r="446" spans="14:14" x14ac:dyDescent="0.25">
      <c r="N446" s="70"/>
    </row>
    <row r="447" spans="14:14" x14ac:dyDescent="0.25">
      <c r="N447" s="70"/>
    </row>
    <row r="448" spans="14:14" x14ac:dyDescent="0.25">
      <c r="N448" s="70"/>
    </row>
    <row r="449" spans="14:14" x14ac:dyDescent="0.25">
      <c r="N449" s="70"/>
    </row>
    <row r="450" spans="14:14" x14ac:dyDescent="0.25">
      <c r="N450" s="70"/>
    </row>
    <row r="451" spans="14:14" x14ac:dyDescent="0.25">
      <c r="N451" s="70"/>
    </row>
    <row r="452" spans="14:14" x14ac:dyDescent="0.25">
      <c r="N452" s="70"/>
    </row>
    <row r="453" spans="14:14" x14ac:dyDescent="0.25">
      <c r="N453" s="70"/>
    </row>
    <row r="454" spans="14:14" x14ac:dyDescent="0.25">
      <c r="N454" s="70"/>
    </row>
    <row r="455" spans="14:14" x14ac:dyDescent="0.25">
      <c r="N455" s="70"/>
    </row>
    <row r="456" spans="14:14" x14ac:dyDescent="0.25">
      <c r="N456" s="70"/>
    </row>
    <row r="457" spans="14:14" x14ac:dyDescent="0.25">
      <c r="N457" s="70"/>
    </row>
    <row r="458" spans="14:14" x14ac:dyDescent="0.25">
      <c r="N458" s="70"/>
    </row>
    <row r="459" spans="14:14" x14ac:dyDescent="0.25">
      <c r="N459" s="70"/>
    </row>
    <row r="460" spans="14:14" x14ac:dyDescent="0.25">
      <c r="N460" s="70"/>
    </row>
    <row r="461" spans="14:14" x14ac:dyDescent="0.25">
      <c r="N461" s="70"/>
    </row>
    <row r="462" spans="14:14" x14ac:dyDescent="0.25">
      <c r="N462" s="70"/>
    </row>
    <row r="463" spans="14:14" x14ac:dyDescent="0.25">
      <c r="N463" s="70"/>
    </row>
    <row r="464" spans="14:14" x14ac:dyDescent="0.25">
      <c r="N464" s="70"/>
    </row>
    <row r="465" spans="14:14" x14ac:dyDescent="0.25">
      <c r="N465" s="70"/>
    </row>
    <row r="466" spans="14:14" x14ac:dyDescent="0.25">
      <c r="N466" s="70"/>
    </row>
    <row r="467" spans="14:14" x14ac:dyDescent="0.25">
      <c r="N467" s="70"/>
    </row>
    <row r="468" spans="14:14" x14ac:dyDescent="0.25">
      <c r="N468" s="70"/>
    </row>
    <row r="469" spans="14:14" x14ac:dyDescent="0.25">
      <c r="N469" s="70"/>
    </row>
    <row r="470" spans="14:14" x14ac:dyDescent="0.25">
      <c r="N470" s="70"/>
    </row>
    <row r="471" spans="14:14" x14ac:dyDescent="0.25">
      <c r="N471" s="70"/>
    </row>
    <row r="472" spans="14:14" x14ac:dyDescent="0.25">
      <c r="N472" s="70"/>
    </row>
    <row r="473" spans="14:14" x14ac:dyDescent="0.25">
      <c r="N473" s="70"/>
    </row>
    <row r="474" spans="14:14" x14ac:dyDescent="0.25">
      <c r="N474" s="70"/>
    </row>
    <row r="475" spans="14:14" x14ac:dyDescent="0.25">
      <c r="N475" s="70"/>
    </row>
    <row r="476" spans="14:14" x14ac:dyDescent="0.25">
      <c r="N476" s="70"/>
    </row>
    <row r="477" spans="14:14" x14ac:dyDescent="0.25">
      <c r="N477" s="70"/>
    </row>
    <row r="478" spans="14:14" x14ac:dyDescent="0.25">
      <c r="N478" s="70"/>
    </row>
    <row r="479" spans="14:14" x14ac:dyDescent="0.25">
      <c r="N479" s="70"/>
    </row>
    <row r="480" spans="14:14" x14ac:dyDescent="0.25">
      <c r="N480" s="70"/>
    </row>
    <row r="481" spans="14:14" x14ac:dyDescent="0.25">
      <c r="N481" s="70"/>
    </row>
    <row r="482" spans="14:14" x14ac:dyDescent="0.25">
      <c r="N482" s="70"/>
    </row>
    <row r="483" spans="14:14" x14ac:dyDescent="0.25">
      <c r="N483" s="70"/>
    </row>
    <row r="484" spans="14:14" x14ac:dyDescent="0.25">
      <c r="N484" s="70"/>
    </row>
    <row r="485" spans="14:14" x14ac:dyDescent="0.25">
      <c r="N485" s="70"/>
    </row>
    <row r="486" spans="14:14" x14ac:dyDescent="0.25">
      <c r="N486" s="70"/>
    </row>
    <row r="487" spans="14:14" x14ac:dyDescent="0.25">
      <c r="N487" s="70"/>
    </row>
    <row r="488" spans="14:14" x14ac:dyDescent="0.25">
      <c r="N488" s="70"/>
    </row>
    <row r="489" spans="14:14" x14ac:dyDescent="0.25">
      <c r="N489" s="70"/>
    </row>
    <row r="490" spans="14:14" x14ac:dyDescent="0.25">
      <c r="N490" s="70"/>
    </row>
    <row r="491" spans="14:14" x14ac:dyDescent="0.25">
      <c r="N491" s="70"/>
    </row>
    <row r="492" spans="14:14" x14ac:dyDescent="0.25">
      <c r="N492" s="70"/>
    </row>
    <row r="493" spans="14:14" x14ac:dyDescent="0.25">
      <c r="N493" s="70"/>
    </row>
    <row r="494" spans="14:14" x14ac:dyDescent="0.25">
      <c r="N494" s="70"/>
    </row>
    <row r="495" spans="14:14" x14ac:dyDescent="0.25">
      <c r="N495" s="70"/>
    </row>
    <row r="496" spans="14:14" x14ac:dyDescent="0.25">
      <c r="N496" s="70"/>
    </row>
    <row r="497" spans="14:14" x14ac:dyDescent="0.25">
      <c r="N497" s="70"/>
    </row>
    <row r="498" spans="14:14" x14ac:dyDescent="0.25">
      <c r="N498" s="70"/>
    </row>
    <row r="499" spans="14:14" x14ac:dyDescent="0.25">
      <c r="N499" s="70"/>
    </row>
    <row r="500" spans="14:14" x14ac:dyDescent="0.25">
      <c r="N500" s="70"/>
    </row>
    <row r="501" spans="14:14" x14ac:dyDescent="0.25">
      <c r="N501" s="70"/>
    </row>
    <row r="502" spans="14:14" x14ac:dyDescent="0.25">
      <c r="N502" s="70"/>
    </row>
    <row r="503" spans="14:14" x14ac:dyDescent="0.25">
      <c r="N503" s="70"/>
    </row>
    <row r="504" spans="14:14" x14ac:dyDescent="0.25">
      <c r="N504" s="70"/>
    </row>
    <row r="505" spans="14:14" x14ac:dyDescent="0.25">
      <c r="N505" s="70"/>
    </row>
    <row r="506" spans="14:14" x14ac:dyDescent="0.25">
      <c r="N506" s="70"/>
    </row>
    <row r="507" spans="14:14" x14ac:dyDescent="0.25">
      <c r="N507" s="70"/>
    </row>
    <row r="508" spans="14:14" x14ac:dyDescent="0.25">
      <c r="N508" s="70"/>
    </row>
    <row r="509" spans="14:14" x14ac:dyDescent="0.25">
      <c r="N509" s="70"/>
    </row>
    <row r="510" spans="14:14" x14ac:dyDescent="0.25">
      <c r="N510" s="70"/>
    </row>
    <row r="511" spans="14:14" x14ac:dyDescent="0.25">
      <c r="N511" s="70"/>
    </row>
    <row r="512" spans="14:14" x14ac:dyDescent="0.25">
      <c r="N512" s="70"/>
    </row>
    <row r="513" spans="14:14" x14ac:dyDescent="0.25">
      <c r="N513" s="70"/>
    </row>
    <row r="514" spans="14:14" x14ac:dyDescent="0.25">
      <c r="N514" s="70"/>
    </row>
    <row r="515" spans="14:14" x14ac:dyDescent="0.25">
      <c r="N515" s="70"/>
    </row>
    <row r="516" spans="14:14" x14ac:dyDescent="0.25">
      <c r="N516" s="70"/>
    </row>
    <row r="517" spans="14:14" x14ac:dyDescent="0.25">
      <c r="N517" s="70"/>
    </row>
    <row r="518" spans="14:14" x14ac:dyDescent="0.25">
      <c r="N518" s="70"/>
    </row>
    <row r="519" spans="14:14" x14ac:dyDescent="0.25">
      <c r="N519" s="70"/>
    </row>
    <row r="520" spans="14:14" x14ac:dyDescent="0.25">
      <c r="N520" s="70"/>
    </row>
    <row r="521" spans="14:14" x14ac:dyDescent="0.25">
      <c r="N521" s="70"/>
    </row>
    <row r="522" spans="14:14" x14ac:dyDescent="0.25">
      <c r="N522" s="70"/>
    </row>
    <row r="523" spans="14:14" x14ac:dyDescent="0.25">
      <c r="N523" s="70"/>
    </row>
    <row r="524" spans="14:14" x14ac:dyDescent="0.25">
      <c r="N524" s="70"/>
    </row>
    <row r="525" spans="14:14" x14ac:dyDescent="0.25">
      <c r="N525" s="70"/>
    </row>
    <row r="526" spans="14:14" x14ac:dyDescent="0.25">
      <c r="N526" s="70"/>
    </row>
    <row r="527" spans="14:14" x14ac:dyDescent="0.25">
      <c r="N527" s="70"/>
    </row>
    <row r="528" spans="14:14" x14ac:dyDescent="0.25">
      <c r="N528" s="70"/>
    </row>
    <row r="529" spans="14:14" x14ac:dyDescent="0.25">
      <c r="N529" s="70"/>
    </row>
    <row r="530" spans="14:14" x14ac:dyDescent="0.25">
      <c r="N530" s="70"/>
    </row>
    <row r="531" spans="14:14" x14ac:dyDescent="0.25">
      <c r="N531" s="70"/>
    </row>
    <row r="532" spans="14:14" x14ac:dyDescent="0.25">
      <c r="N532" s="70"/>
    </row>
    <row r="533" spans="14:14" x14ac:dyDescent="0.25">
      <c r="N533" s="70"/>
    </row>
    <row r="534" spans="14:14" x14ac:dyDescent="0.25">
      <c r="N534" s="70"/>
    </row>
    <row r="535" spans="14:14" x14ac:dyDescent="0.25">
      <c r="N535" s="70"/>
    </row>
    <row r="536" spans="14:14" x14ac:dyDescent="0.25">
      <c r="N536" s="70"/>
    </row>
    <row r="537" spans="14:14" x14ac:dyDescent="0.25">
      <c r="N537" s="70"/>
    </row>
    <row r="538" spans="14:14" x14ac:dyDescent="0.25">
      <c r="N538" s="70"/>
    </row>
    <row r="539" spans="14:14" x14ac:dyDescent="0.25">
      <c r="N539" s="70"/>
    </row>
    <row r="540" spans="14:14" x14ac:dyDescent="0.25">
      <c r="N540" s="70"/>
    </row>
    <row r="541" spans="14:14" x14ac:dyDescent="0.25">
      <c r="N541" s="70"/>
    </row>
    <row r="542" spans="14:14" x14ac:dyDescent="0.25">
      <c r="N542" s="70"/>
    </row>
    <row r="543" spans="14:14" x14ac:dyDescent="0.25">
      <c r="N543" s="70"/>
    </row>
    <row r="544" spans="14:14" x14ac:dyDescent="0.25">
      <c r="N544" s="70"/>
    </row>
    <row r="545" spans="14:14" x14ac:dyDescent="0.25">
      <c r="N545" s="70"/>
    </row>
    <row r="546" spans="14:14" x14ac:dyDescent="0.25">
      <c r="N546" s="70"/>
    </row>
    <row r="547" spans="14:14" x14ac:dyDescent="0.25">
      <c r="N547" s="70"/>
    </row>
    <row r="548" spans="14:14" x14ac:dyDescent="0.25">
      <c r="N548" s="70"/>
    </row>
    <row r="549" spans="14:14" x14ac:dyDescent="0.25">
      <c r="N549" s="70"/>
    </row>
    <row r="550" spans="14:14" x14ac:dyDescent="0.25">
      <c r="N550" s="70"/>
    </row>
    <row r="551" spans="14:14" x14ac:dyDescent="0.25">
      <c r="N551" s="70"/>
    </row>
    <row r="552" spans="14:14" x14ac:dyDescent="0.25">
      <c r="N552" s="70"/>
    </row>
    <row r="553" spans="14:14" x14ac:dyDescent="0.25">
      <c r="N553" s="70"/>
    </row>
    <row r="554" spans="14:14" x14ac:dyDescent="0.25">
      <c r="N554" s="70"/>
    </row>
    <row r="555" spans="14:14" x14ac:dyDescent="0.25">
      <c r="N555" s="70"/>
    </row>
    <row r="556" spans="14:14" x14ac:dyDescent="0.25">
      <c r="N556" s="70"/>
    </row>
    <row r="557" spans="14:14" x14ac:dyDescent="0.25">
      <c r="N557" s="70"/>
    </row>
    <row r="558" spans="14:14" x14ac:dyDescent="0.25">
      <c r="N558" s="70"/>
    </row>
    <row r="559" spans="14:14" x14ac:dyDescent="0.25">
      <c r="N559" s="70"/>
    </row>
    <row r="560" spans="14:14" x14ac:dyDescent="0.25">
      <c r="N560" s="70"/>
    </row>
    <row r="561" spans="14:14" x14ac:dyDescent="0.25">
      <c r="N561" s="70"/>
    </row>
    <row r="562" spans="14:14" x14ac:dyDescent="0.25">
      <c r="N562" s="70"/>
    </row>
    <row r="563" spans="14:14" x14ac:dyDescent="0.25">
      <c r="N563" s="70"/>
    </row>
    <row r="564" spans="14:14" x14ac:dyDescent="0.25">
      <c r="N564" s="70"/>
    </row>
    <row r="565" spans="14:14" x14ac:dyDescent="0.25">
      <c r="N565" s="70"/>
    </row>
    <row r="566" spans="14:14" x14ac:dyDescent="0.25">
      <c r="N566" s="70"/>
    </row>
    <row r="567" spans="14:14" x14ac:dyDescent="0.25">
      <c r="N567" s="70"/>
    </row>
    <row r="568" spans="14:14" x14ac:dyDescent="0.25">
      <c r="N568" s="70"/>
    </row>
    <row r="569" spans="14:14" x14ac:dyDescent="0.25">
      <c r="N569" s="70"/>
    </row>
    <row r="570" spans="14:14" x14ac:dyDescent="0.25">
      <c r="N570" s="70"/>
    </row>
    <row r="571" spans="14:14" x14ac:dyDescent="0.25">
      <c r="N571" s="70"/>
    </row>
    <row r="572" spans="14:14" x14ac:dyDescent="0.25">
      <c r="N572" s="70"/>
    </row>
    <row r="573" spans="14:14" x14ac:dyDescent="0.25">
      <c r="N573" s="70"/>
    </row>
    <row r="574" spans="14:14" x14ac:dyDescent="0.25">
      <c r="N574" s="70"/>
    </row>
    <row r="575" spans="14:14" x14ac:dyDescent="0.25">
      <c r="N575" s="70"/>
    </row>
    <row r="576" spans="14:14" x14ac:dyDescent="0.25">
      <c r="N576" s="70"/>
    </row>
    <row r="577" spans="14:14" x14ac:dyDescent="0.25">
      <c r="N577" s="70"/>
    </row>
    <row r="578" spans="14:14" x14ac:dyDescent="0.25">
      <c r="N578" s="70"/>
    </row>
    <row r="579" spans="14:14" x14ac:dyDescent="0.25">
      <c r="N579" s="70"/>
    </row>
    <row r="580" spans="14:14" x14ac:dyDescent="0.25">
      <c r="N580" s="70"/>
    </row>
    <row r="581" spans="14:14" x14ac:dyDescent="0.25">
      <c r="N581" s="70"/>
    </row>
    <row r="582" spans="14:14" x14ac:dyDescent="0.25">
      <c r="N582" s="70"/>
    </row>
    <row r="583" spans="14:14" x14ac:dyDescent="0.25">
      <c r="N583" s="70"/>
    </row>
    <row r="584" spans="14:14" x14ac:dyDescent="0.25">
      <c r="N584" s="70"/>
    </row>
    <row r="585" spans="14:14" x14ac:dyDescent="0.25">
      <c r="N585" s="70"/>
    </row>
    <row r="586" spans="14:14" x14ac:dyDescent="0.25">
      <c r="N586" s="70"/>
    </row>
    <row r="587" spans="14:14" x14ac:dyDescent="0.25">
      <c r="N587" s="70"/>
    </row>
    <row r="588" spans="14:14" x14ac:dyDescent="0.25">
      <c r="N588" s="70"/>
    </row>
    <row r="589" spans="14:14" x14ac:dyDescent="0.25">
      <c r="N589" s="70"/>
    </row>
    <row r="590" spans="14:14" x14ac:dyDescent="0.25">
      <c r="N590" s="70"/>
    </row>
    <row r="591" spans="14:14" x14ac:dyDescent="0.25">
      <c r="N591" s="70"/>
    </row>
    <row r="592" spans="14:14" x14ac:dyDescent="0.25">
      <c r="N592" s="70"/>
    </row>
    <row r="593" spans="14:14" x14ac:dyDescent="0.25">
      <c r="N593" s="70"/>
    </row>
    <row r="594" spans="14:14" x14ac:dyDescent="0.25">
      <c r="N594" s="70"/>
    </row>
    <row r="595" spans="14:14" x14ac:dyDescent="0.25">
      <c r="N595" s="70"/>
    </row>
    <row r="596" spans="14:14" x14ac:dyDescent="0.25">
      <c r="N596" s="70"/>
    </row>
    <row r="597" spans="14:14" x14ac:dyDescent="0.25">
      <c r="N597" s="70"/>
    </row>
    <row r="598" spans="14:14" x14ac:dyDescent="0.25">
      <c r="N598" s="70"/>
    </row>
    <row r="599" spans="14:14" x14ac:dyDescent="0.25">
      <c r="N599" s="70"/>
    </row>
    <row r="600" spans="14:14" x14ac:dyDescent="0.25">
      <c r="N600" s="70"/>
    </row>
    <row r="601" spans="14:14" x14ac:dyDescent="0.25">
      <c r="N601" s="70"/>
    </row>
    <row r="602" spans="14:14" x14ac:dyDescent="0.25">
      <c r="N602" s="70"/>
    </row>
    <row r="603" spans="14:14" x14ac:dyDescent="0.25">
      <c r="N603" s="70"/>
    </row>
    <row r="604" spans="14:14" x14ac:dyDescent="0.25">
      <c r="N604" s="70"/>
    </row>
    <row r="605" spans="14:14" x14ac:dyDescent="0.25">
      <c r="N605" s="70"/>
    </row>
    <row r="606" spans="14:14" x14ac:dyDescent="0.25">
      <c r="N606" s="70"/>
    </row>
    <row r="607" spans="14:14" x14ac:dyDescent="0.25">
      <c r="N607" s="70"/>
    </row>
    <row r="608" spans="14:14" x14ac:dyDescent="0.25">
      <c r="N608" s="70"/>
    </row>
    <row r="609" spans="14:14" x14ac:dyDescent="0.25">
      <c r="N609" s="70"/>
    </row>
    <row r="610" spans="14:14" x14ac:dyDescent="0.25">
      <c r="N610" s="70"/>
    </row>
    <row r="611" spans="14:14" x14ac:dyDescent="0.25">
      <c r="N611" s="70"/>
    </row>
    <row r="612" spans="14:14" x14ac:dyDescent="0.25">
      <c r="N612" s="70"/>
    </row>
    <row r="613" spans="14:14" x14ac:dyDescent="0.25">
      <c r="N613" s="70"/>
    </row>
    <row r="614" spans="14:14" x14ac:dyDescent="0.25">
      <c r="N614" s="70"/>
    </row>
    <row r="615" spans="14:14" x14ac:dyDescent="0.25">
      <c r="N615" s="70"/>
    </row>
    <row r="616" spans="14:14" x14ac:dyDescent="0.25">
      <c r="N616" s="70"/>
    </row>
    <row r="617" spans="14:14" x14ac:dyDescent="0.25">
      <c r="N617" s="70"/>
    </row>
    <row r="618" spans="14:14" x14ac:dyDescent="0.25">
      <c r="N618" s="70"/>
    </row>
    <row r="619" spans="14:14" x14ac:dyDescent="0.25">
      <c r="N619" s="70"/>
    </row>
    <row r="620" spans="14:14" x14ac:dyDescent="0.25">
      <c r="N620" s="70"/>
    </row>
    <row r="621" spans="14:14" x14ac:dyDescent="0.25">
      <c r="N621" s="70"/>
    </row>
    <row r="622" spans="14:14" x14ac:dyDescent="0.25">
      <c r="N622" s="70"/>
    </row>
    <row r="623" spans="14:14" x14ac:dyDescent="0.25">
      <c r="N623" s="70"/>
    </row>
    <row r="624" spans="14:14" x14ac:dyDescent="0.25">
      <c r="N624" s="70"/>
    </row>
    <row r="625" spans="14:14" x14ac:dyDescent="0.25">
      <c r="N625" s="70"/>
    </row>
    <row r="626" spans="14:14" x14ac:dyDescent="0.25">
      <c r="N626" s="70"/>
    </row>
    <row r="627" spans="14:14" x14ac:dyDescent="0.25">
      <c r="N627" s="70"/>
    </row>
    <row r="628" spans="14:14" x14ac:dyDescent="0.25">
      <c r="N628" s="70"/>
    </row>
    <row r="629" spans="14:14" x14ac:dyDescent="0.25">
      <c r="N629" s="70"/>
    </row>
    <row r="630" spans="14:14" x14ac:dyDescent="0.25">
      <c r="N630" s="70"/>
    </row>
    <row r="631" spans="14:14" x14ac:dyDescent="0.25">
      <c r="N631" s="70"/>
    </row>
    <row r="632" spans="14:14" x14ac:dyDescent="0.25">
      <c r="N632" s="70"/>
    </row>
    <row r="633" spans="14:14" x14ac:dyDescent="0.25">
      <c r="N633" s="70"/>
    </row>
    <row r="634" spans="14:14" x14ac:dyDescent="0.25">
      <c r="N634" s="70"/>
    </row>
    <row r="635" spans="14:14" x14ac:dyDescent="0.25">
      <c r="N635" s="70"/>
    </row>
    <row r="636" spans="14:14" x14ac:dyDescent="0.25">
      <c r="N636" s="70"/>
    </row>
    <row r="637" spans="14:14" x14ac:dyDescent="0.25">
      <c r="N637" s="70"/>
    </row>
    <row r="638" spans="14:14" x14ac:dyDescent="0.25">
      <c r="N638" s="70"/>
    </row>
    <row r="639" spans="14:14" x14ac:dyDescent="0.25">
      <c r="N639" s="70"/>
    </row>
    <row r="640" spans="14:14" x14ac:dyDescent="0.25">
      <c r="N640" s="70"/>
    </row>
    <row r="641" spans="14:14" x14ac:dyDescent="0.25">
      <c r="N641" s="70"/>
    </row>
    <row r="642" spans="14:14" x14ac:dyDescent="0.25">
      <c r="N642" s="70"/>
    </row>
    <row r="643" spans="14:14" x14ac:dyDescent="0.25">
      <c r="N643" s="70"/>
    </row>
    <row r="644" spans="14:14" x14ac:dyDescent="0.25">
      <c r="N644" s="70"/>
    </row>
    <row r="645" spans="14:14" x14ac:dyDescent="0.25">
      <c r="N645" s="70"/>
    </row>
    <row r="646" spans="14:14" x14ac:dyDescent="0.25">
      <c r="N646" s="70"/>
    </row>
    <row r="647" spans="14:14" x14ac:dyDescent="0.25">
      <c r="N647" s="70"/>
    </row>
    <row r="648" spans="14:14" x14ac:dyDescent="0.25">
      <c r="N648" s="70"/>
    </row>
    <row r="649" spans="14:14" x14ac:dyDescent="0.25">
      <c r="N649" s="70"/>
    </row>
    <row r="650" spans="14:14" x14ac:dyDescent="0.25">
      <c r="N650" s="70"/>
    </row>
    <row r="651" spans="14:14" x14ac:dyDescent="0.25">
      <c r="N651" s="70"/>
    </row>
    <row r="652" spans="14:14" x14ac:dyDescent="0.25">
      <c r="N652" s="70"/>
    </row>
    <row r="653" spans="14:14" x14ac:dyDescent="0.25">
      <c r="N653" s="70"/>
    </row>
    <row r="654" spans="14:14" x14ac:dyDescent="0.25">
      <c r="N654" s="70"/>
    </row>
    <row r="655" spans="14:14" x14ac:dyDescent="0.25">
      <c r="N655" s="70"/>
    </row>
    <row r="656" spans="14:14" x14ac:dyDescent="0.25">
      <c r="N656" s="70"/>
    </row>
    <row r="657" spans="14:14" x14ac:dyDescent="0.25">
      <c r="N657" s="70"/>
    </row>
    <row r="658" spans="14:14" x14ac:dyDescent="0.25">
      <c r="N658" s="70"/>
    </row>
    <row r="659" spans="14:14" x14ac:dyDescent="0.25">
      <c r="N659" s="70"/>
    </row>
    <row r="660" spans="14:14" x14ac:dyDescent="0.25">
      <c r="N660" s="70"/>
    </row>
    <row r="661" spans="14:14" x14ac:dyDescent="0.25">
      <c r="N661" s="70"/>
    </row>
    <row r="662" spans="14:14" x14ac:dyDescent="0.25">
      <c r="N662" s="70"/>
    </row>
    <row r="663" spans="14:14" x14ac:dyDescent="0.25">
      <c r="N663" s="70"/>
    </row>
    <row r="664" spans="14:14" x14ac:dyDescent="0.25">
      <c r="N664" s="70"/>
    </row>
    <row r="665" spans="14:14" x14ac:dyDescent="0.25">
      <c r="N665" s="70"/>
    </row>
    <row r="666" spans="14:14" x14ac:dyDescent="0.25">
      <c r="N666" s="70"/>
    </row>
    <row r="667" spans="14:14" x14ac:dyDescent="0.25">
      <c r="N667" s="70"/>
    </row>
    <row r="668" spans="14:14" x14ac:dyDescent="0.25">
      <c r="N668" s="70"/>
    </row>
    <row r="669" spans="14:14" x14ac:dyDescent="0.25">
      <c r="N669" s="70"/>
    </row>
    <row r="670" spans="14:14" x14ac:dyDescent="0.25">
      <c r="N670" s="70"/>
    </row>
    <row r="671" spans="14:14" x14ac:dyDescent="0.25">
      <c r="N671" s="70"/>
    </row>
    <row r="672" spans="14:14" x14ac:dyDescent="0.25">
      <c r="N672" s="70"/>
    </row>
    <row r="673" spans="14:14" x14ac:dyDescent="0.25">
      <c r="N673" s="70"/>
    </row>
    <row r="674" spans="14:14" x14ac:dyDescent="0.25">
      <c r="N674" s="70"/>
    </row>
    <row r="675" spans="14:14" x14ac:dyDescent="0.25">
      <c r="N675" s="70"/>
    </row>
    <row r="676" spans="14:14" x14ac:dyDescent="0.25">
      <c r="N676" s="70"/>
    </row>
    <row r="677" spans="14:14" x14ac:dyDescent="0.25">
      <c r="N677" s="70"/>
    </row>
    <row r="678" spans="14:14" x14ac:dyDescent="0.25">
      <c r="N678" s="70"/>
    </row>
    <row r="679" spans="14:14" x14ac:dyDescent="0.25">
      <c r="N679" s="70"/>
    </row>
    <row r="680" spans="14:14" x14ac:dyDescent="0.25">
      <c r="N680" s="70"/>
    </row>
    <row r="681" spans="14:14" x14ac:dyDescent="0.25">
      <c r="N681" s="70"/>
    </row>
    <row r="682" spans="14:14" x14ac:dyDescent="0.25">
      <c r="N682" s="70"/>
    </row>
    <row r="683" spans="14:14" x14ac:dyDescent="0.25">
      <c r="N683" s="70"/>
    </row>
    <row r="684" spans="14:14" x14ac:dyDescent="0.25">
      <c r="N684" s="70"/>
    </row>
    <row r="685" spans="14:14" x14ac:dyDescent="0.25">
      <c r="N685" s="70"/>
    </row>
    <row r="686" spans="14:14" x14ac:dyDescent="0.25">
      <c r="N686" s="70"/>
    </row>
    <row r="687" spans="14:14" x14ac:dyDescent="0.25">
      <c r="N687" s="70"/>
    </row>
    <row r="688" spans="14:14" x14ac:dyDescent="0.25">
      <c r="N688" s="70"/>
    </row>
    <row r="689" spans="14:14" x14ac:dyDescent="0.25">
      <c r="N689" s="70"/>
    </row>
    <row r="690" spans="14:14" x14ac:dyDescent="0.25">
      <c r="N690" s="70"/>
    </row>
    <row r="691" spans="14:14" x14ac:dyDescent="0.25">
      <c r="N691" s="70"/>
    </row>
    <row r="692" spans="14:14" x14ac:dyDescent="0.25">
      <c r="N692" s="70"/>
    </row>
    <row r="693" spans="14:14" x14ac:dyDescent="0.25">
      <c r="N693" s="70"/>
    </row>
    <row r="694" spans="14:14" x14ac:dyDescent="0.25">
      <c r="N694" s="70"/>
    </row>
    <row r="695" spans="14:14" x14ac:dyDescent="0.25">
      <c r="N695" s="70"/>
    </row>
    <row r="696" spans="14:14" x14ac:dyDescent="0.25">
      <c r="N696" s="70"/>
    </row>
    <row r="697" spans="14:14" x14ac:dyDescent="0.25">
      <c r="N697" s="70"/>
    </row>
    <row r="698" spans="14:14" x14ac:dyDescent="0.25">
      <c r="N698" s="70"/>
    </row>
    <row r="699" spans="14:14" x14ac:dyDescent="0.25">
      <c r="N699" s="70"/>
    </row>
    <row r="700" spans="14:14" x14ac:dyDescent="0.25">
      <c r="N700" s="70"/>
    </row>
    <row r="701" spans="14:14" x14ac:dyDescent="0.25">
      <c r="N701" s="70"/>
    </row>
    <row r="702" spans="14:14" x14ac:dyDescent="0.25">
      <c r="N702" s="70"/>
    </row>
    <row r="703" spans="14:14" x14ac:dyDescent="0.25">
      <c r="N703" s="70"/>
    </row>
    <row r="704" spans="14:14" x14ac:dyDescent="0.25">
      <c r="N704" s="70"/>
    </row>
    <row r="705" spans="14:14" x14ac:dyDescent="0.25">
      <c r="N705" s="70"/>
    </row>
    <row r="706" spans="14:14" x14ac:dyDescent="0.25">
      <c r="N706" s="70"/>
    </row>
    <row r="707" spans="14:14" x14ac:dyDescent="0.25">
      <c r="N707" s="70"/>
    </row>
    <row r="708" spans="14:14" x14ac:dyDescent="0.25">
      <c r="N708" s="70"/>
    </row>
    <row r="709" spans="14:14" x14ac:dyDescent="0.25">
      <c r="N709" s="70"/>
    </row>
    <row r="710" spans="14:14" x14ac:dyDescent="0.25">
      <c r="N710" s="70"/>
    </row>
    <row r="711" spans="14:14" x14ac:dyDescent="0.25">
      <c r="N711" s="70"/>
    </row>
    <row r="712" spans="14:14" x14ac:dyDescent="0.25">
      <c r="N712" s="70"/>
    </row>
    <row r="713" spans="14:14" x14ac:dyDescent="0.25">
      <c r="N713" s="70"/>
    </row>
    <row r="714" spans="14:14" x14ac:dyDescent="0.25">
      <c r="N714" s="70"/>
    </row>
    <row r="715" spans="14:14" x14ac:dyDescent="0.25">
      <c r="N715" s="70"/>
    </row>
    <row r="716" spans="14:14" x14ac:dyDescent="0.25">
      <c r="N716" s="70"/>
    </row>
    <row r="717" spans="14:14" x14ac:dyDescent="0.25">
      <c r="N717" s="70"/>
    </row>
    <row r="718" spans="14:14" x14ac:dyDescent="0.25">
      <c r="N718" s="70"/>
    </row>
    <row r="719" spans="14:14" x14ac:dyDescent="0.25">
      <c r="N719" s="70"/>
    </row>
    <row r="720" spans="14:14" x14ac:dyDescent="0.25">
      <c r="N720" s="70"/>
    </row>
    <row r="721" spans="14:14" x14ac:dyDescent="0.25">
      <c r="N721" s="70"/>
    </row>
    <row r="722" spans="14:14" x14ac:dyDescent="0.25">
      <c r="N722" s="70"/>
    </row>
    <row r="723" spans="14:14" x14ac:dyDescent="0.25">
      <c r="N723" s="70"/>
    </row>
    <row r="724" spans="14:14" x14ac:dyDescent="0.25">
      <c r="N724" s="70"/>
    </row>
    <row r="725" spans="14:14" x14ac:dyDescent="0.25">
      <c r="N725" s="70"/>
    </row>
    <row r="726" spans="14:14" x14ac:dyDescent="0.25">
      <c r="N726" s="70"/>
    </row>
    <row r="727" spans="14:14" x14ac:dyDescent="0.25">
      <c r="N727" s="70"/>
    </row>
    <row r="728" spans="14:14" x14ac:dyDescent="0.25">
      <c r="N728" s="70"/>
    </row>
    <row r="729" spans="14:14" x14ac:dyDescent="0.25">
      <c r="N729" s="70"/>
    </row>
    <row r="730" spans="14:14" x14ac:dyDescent="0.25">
      <c r="N730" s="70"/>
    </row>
    <row r="731" spans="14:14" x14ac:dyDescent="0.25">
      <c r="N731" s="70"/>
    </row>
    <row r="732" spans="14:14" x14ac:dyDescent="0.25">
      <c r="N732" s="70"/>
    </row>
    <row r="733" spans="14:14" x14ac:dyDescent="0.25">
      <c r="N733" s="70"/>
    </row>
    <row r="734" spans="14:14" x14ac:dyDescent="0.25">
      <c r="N734" s="70"/>
    </row>
    <row r="735" spans="14:14" x14ac:dyDescent="0.25">
      <c r="N735" s="70"/>
    </row>
    <row r="736" spans="14:14" x14ac:dyDescent="0.25">
      <c r="N736" s="70"/>
    </row>
    <row r="737" spans="14:14" x14ac:dyDescent="0.25">
      <c r="N737" s="70"/>
    </row>
    <row r="738" spans="14:14" x14ac:dyDescent="0.25">
      <c r="N738" s="70"/>
    </row>
    <row r="739" spans="14:14" x14ac:dyDescent="0.25">
      <c r="N739" s="70"/>
    </row>
    <row r="740" spans="14:14" x14ac:dyDescent="0.25">
      <c r="N740" s="70"/>
    </row>
    <row r="741" spans="14:14" x14ac:dyDescent="0.25">
      <c r="N741" s="70"/>
    </row>
    <row r="742" spans="14:14" x14ac:dyDescent="0.25">
      <c r="N742" s="70"/>
    </row>
    <row r="743" spans="14:14" x14ac:dyDescent="0.25">
      <c r="N743" s="70"/>
    </row>
    <row r="744" spans="14:14" x14ac:dyDescent="0.25">
      <c r="N744" s="70"/>
    </row>
    <row r="745" spans="14:14" x14ac:dyDescent="0.25">
      <c r="N745" s="70"/>
    </row>
    <row r="746" spans="14:14" x14ac:dyDescent="0.25">
      <c r="N746" s="70"/>
    </row>
    <row r="747" spans="14:14" x14ac:dyDescent="0.25">
      <c r="N747" s="70"/>
    </row>
    <row r="748" spans="14:14" x14ac:dyDescent="0.25">
      <c r="N748" s="70"/>
    </row>
    <row r="749" spans="14:14" x14ac:dyDescent="0.25">
      <c r="N749" s="70"/>
    </row>
    <row r="750" spans="14:14" x14ac:dyDescent="0.25">
      <c r="N750" s="70"/>
    </row>
    <row r="751" spans="14:14" x14ac:dyDescent="0.25">
      <c r="N751" s="70"/>
    </row>
    <row r="752" spans="14:14" x14ac:dyDescent="0.25">
      <c r="N752" s="70"/>
    </row>
    <row r="753" spans="14:14" x14ac:dyDescent="0.25">
      <c r="N753" s="70"/>
    </row>
    <row r="754" spans="14:14" x14ac:dyDescent="0.25">
      <c r="N754" s="70"/>
    </row>
    <row r="755" spans="14:14" x14ac:dyDescent="0.25">
      <c r="N755" s="70"/>
    </row>
    <row r="756" spans="14:14" x14ac:dyDescent="0.25">
      <c r="N756" s="70"/>
    </row>
    <row r="757" spans="14:14" x14ac:dyDescent="0.25">
      <c r="N757" s="70"/>
    </row>
    <row r="758" spans="14:14" x14ac:dyDescent="0.25">
      <c r="N758" s="70"/>
    </row>
    <row r="759" spans="14:14" x14ac:dyDescent="0.25">
      <c r="N759" s="70"/>
    </row>
    <row r="760" spans="14:14" x14ac:dyDescent="0.25">
      <c r="N760" s="70"/>
    </row>
    <row r="761" spans="14:14" x14ac:dyDescent="0.25">
      <c r="N761" s="70"/>
    </row>
    <row r="762" spans="14:14" x14ac:dyDescent="0.25">
      <c r="N762" s="70"/>
    </row>
    <row r="763" spans="14:14" x14ac:dyDescent="0.25">
      <c r="N763" s="70"/>
    </row>
    <row r="764" spans="14:14" x14ac:dyDescent="0.25">
      <c r="N764" s="70"/>
    </row>
    <row r="765" spans="14:14" x14ac:dyDescent="0.25">
      <c r="N765" s="70"/>
    </row>
    <row r="766" spans="14:14" x14ac:dyDescent="0.25">
      <c r="N766" s="70"/>
    </row>
    <row r="767" spans="14:14" x14ac:dyDescent="0.25">
      <c r="N767" s="70"/>
    </row>
    <row r="768" spans="14:14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  <row r="1141" spans="14:14" x14ac:dyDescent="0.25">
      <c r="N1141" s="70"/>
    </row>
    <row r="1142" spans="14:14" x14ac:dyDescent="0.25">
      <c r="N1142" s="70"/>
    </row>
    <row r="1143" spans="14:14" x14ac:dyDescent="0.25">
      <c r="N1143" s="70"/>
    </row>
    <row r="1144" spans="14:14" x14ac:dyDescent="0.25">
      <c r="N1144" s="70"/>
    </row>
    <row r="1145" spans="14:14" x14ac:dyDescent="0.25">
      <c r="N1145" s="70"/>
    </row>
    <row r="1146" spans="14:14" x14ac:dyDescent="0.25">
      <c r="N1146" s="70"/>
    </row>
    <row r="1147" spans="14:14" x14ac:dyDescent="0.25">
      <c r="N1147" s="70"/>
    </row>
    <row r="1148" spans="14:14" x14ac:dyDescent="0.25">
      <c r="N1148" s="70"/>
    </row>
    <row r="1149" spans="14:14" x14ac:dyDescent="0.25">
      <c r="N1149" s="70"/>
    </row>
    <row r="1150" spans="14:14" x14ac:dyDescent="0.25">
      <c r="N1150" s="70"/>
    </row>
    <row r="1151" spans="14:14" x14ac:dyDescent="0.25">
      <c r="N1151" s="70"/>
    </row>
    <row r="1152" spans="14:14" x14ac:dyDescent="0.25">
      <c r="N1152" s="70"/>
    </row>
    <row r="1153" spans="14:14" x14ac:dyDescent="0.25">
      <c r="N1153" s="70"/>
    </row>
    <row r="1154" spans="14:14" x14ac:dyDescent="0.25">
      <c r="N1154" s="70"/>
    </row>
    <row r="1155" spans="14:14" x14ac:dyDescent="0.25">
      <c r="N1155" s="70"/>
    </row>
    <row r="1156" spans="14:14" x14ac:dyDescent="0.25">
      <c r="N1156" s="70"/>
    </row>
    <row r="1157" spans="14:14" x14ac:dyDescent="0.25">
      <c r="N1157" s="70"/>
    </row>
    <row r="1158" spans="14:14" x14ac:dyDescent="0.25">
      <c r="N1158" s="70"/>
    </row>
    <row r="1159" spans="14:14" x14ac:dyDescent="0.25">
      <c r="N1159" s="70"/>
    </row>
    <row r="1160" spans="14:14" x14ac:dyDescent="0.25">
      <c r="N1160" s="70"/>
    </row>
    <row r="1161" spans="14:14" x14ac:dyDescent="0.25">
      <c r="N1161" s="70"/>
    </row>
    <row r="1162" spans="14:14" x14ac:dyDescent="0.25">
      <c r="N1162" s="70"/>
    </row>
    <row r="1163" spans="14:14" x14ac:dyDescent="0.25">
      <c r="N1163" s="70"/>
    </row>
    <row r="1164" spans="14:14" x14ac:dyDescent="0.25">
      <c r="N1164" s="70"/>
    </row>
    <row r="1165" spans="14:14" x14ac:dyDescent="0.25">
      <c r="N1165" s="70"/>
    </row>
    <row r="1166" spans="14:14" x14ac:dyDescent="0.25">
      <c r="N1166" s="70"/>
    </row>
    <row r="1167" spans="14:14" x14ac:dyDescent="0.25">
      <c r="N1167" s="70"/>
    </row>
    <row r="1168" spans="14:14" x14ac:dyDescent="0.25">
      <c r="N1168" s="70"/>
    </row>
    <row r="1169" spans="14:14" x14ac:dyDescent="0.25">
      <c r="N1169" s="70"/>
    </row>
    <row r="1170" spans="14:14" x14ac:dyDescent="0.25">
      <c r="N1170" s="70"/>
    </row>
    <row r="1171" spans="14:14" x14ac:dyDescent="0.25">
      <c r="N1171" s="70"/>
    </row>
    <row r="1172" spans="14:14" x14ac:dyDescent="0.25">
      <c r="N1172" s="70"/>
    </row>
    <row r="1173" spans="14:14" x14ac:dyDescent="0.25">
      <c r="N1173" s="70"/>
    </row>
    <row r="1174" spans="14:14" x14ac:dyDescent="0.25">
      <c r="N1174" s="70"/>
    </row>
    <row r="1175" spans="14:14" x14ac:dyDescent="0.25">
      <c r="N1175" s="70"/>
    </row>
    <row r="1176" spans="14:14" x14ac:dyDescent="0.25">
      <c r="N1176" s="70"/>
    </row>
    <row r="1177" spans="14:14" x14ac:dyDescent="0.25">
      <c r="N1177" s="70"/>
    </row>
    <row r="1178" spans="14:14" x14ac:dyDescent="0.25">
      <c r="N1178" s="70"/>
    </row>
    <row r="1179" spans="14:14" x14ac:dyDescent="0.25">
      <c r="N1179" s="70"/>
    </row>
    <row r="1180" spans="14:14" x14ac:dyDescent="0.25">
      <c r="N1180" s="70"/>
    </row>
    <row r="1181" spans="14:14" x14ac:dyDescent="0.25">
      <c r="N1181" s="70"/>
    </row>
    <row r="1182" spans="14:14" x14ac:dyDescent="0.25">
      <c r="N1182" s="70"/>
    </row>
    <row r="1183" spans="14:14" x14ac:dyDescent="0.25">
      <c r="N1183" s="70"/>
    </row>
    <row r="1184" spans="14:14" x14ac:dyDescent="0.25">
      <c r="N1184" s="70"/>
    </row>
    <row r="1185" spans="14:14" x14ac:dyDescent="0.25">
      <c r="N1185" s="70"/>
    </row>
    <row r="1186" spans="14:14" x14ac:dyDescent="0.25">
      <c r="N1186" s="70"/>
    </row>
    <row r="1187" spans="14:14" x14ac:dyDescent="0.25">
      <c r="N1187" s="70"/>
    </row>
    <row r="1188" spans="14:14" x14ac:dyDescent="0.25">
      <c r="N1188" s="70"/>
    </row>
    <row r="1189" spans="14:14" x14ac:dyDescent="0.25">
      <c r="N1189" s="70"/>
    </row>
    <row r="1190" spans="14:14" x14ac:dyDescent="0.25">
      <c r="N1190" s="70"/>
    </row>
    <row r="1191" spans="14:14" x14ac:dyDescent="0.25">
      <c r="N1191" s="70"/>
    </row>
    <row r="1192" spans="14:14" x14ac:dyDescent="0.25">
      <c r="N1192" s="70"/>
    </row>
    <row r="1193" spans="14:14" x14ac:dyDescent="0.25">
      <c r="N1193" s="70"/>
    </row>
    <row r="1194" spans="14:14" x14ac:dyDescent="0.25">
      <c r="N1194" s="70"/>
    </row>
    <row r="1195" spans="14:14" x14ac:dyDescent="0.25">
      <c r="N1195" s="70"/>
    </row>
    <row r="1196" spans="14:14" x14ac:dyDescent="0.25">
      <c r="N1196" s="70"/>
    </row>
    <row r="1197" spans="14:14" x14ac:dyDescent="0.25">
      <c r="N1197" s="70"/>
    </row>
    <row r="1198" spans="14:14" x14ac:dyDescent="0.25">
      <c r="N1198" s="70"/>
    </row>
    <row r="1199" spans="14:14" x14ac:dyDescent="0.25">
      <c r="N1199" s="70"/>
    </row>
    <row r="1200" spans="14:14" x14ac:dyDescent="0.25">
      <c r="N1200" s="70"/>
    </row>
    <row r="1201" spans="14:14" x14ac:dyDescent="0.25">
      <c r="N1201" s="70"/>
    </row>
    <row r="1202" spans="14:14" x14ac:dyDescent="0.25">
      <c r="N1202" s="70"/>
    </row>
    <row r="1203" spans="14:14" x14ac:dyDescent="0.25">
      <c r="N1203" s="70"/>
    </row>
    <row r="1204" spans="14:14" x14ac:dyDescent="0.25">
      <c r="N1204" s="70"/>
    </row>
    <row r="1205" spans="14:14" x14ac:dyDescent="0.25">
      <c r="N1205" s="70"/>
    </row>
    <row r="1206" spans="14:14" x14ac:dyDescent="0.25">
      <c r="N1206" s="70"/>
    </row>
    <row r="1207" spans="14:14" x14ac:dyDescent="0.25">
      <c r="N1207" s="70"/>
    </row>
    <row r="1208" spans="14:14" x14ac:dyDescent="0.25">
      <c r="N1208" s="70"/>
    </row>
    <row r="1209" spans="14:14" x14ac:dyDescent="0.25">
      <c r="N1209" s="70"/>
    </row>
    <row r="1210" spans="14:14" x14ac:dyDescent="0.25">
      <c r="N1210" s="70"/>
    </row>
    <row r="1211" spans="14:14" x14ac:dyDescent="0.25">
      <c r="N1211" s="70"/>
    </row>
    <row r="1212" spans="14:14" x14ac:dyDescent="0.25">
      <c r="N1212" s="70"/>
    </row>
    <row r="1213" spans="14:14" x14ac:dyDescent="0.25">
      <c r="N1213" s="70"/>
    </row>
    <row r="1214" spans="14:14" x14ac:dyDescent="0.25">
      <c r="N1214" s="70"/>
    </row>
    <row r="1215" spans="14:14" x14ac:dyDescent="0.25">
      <c r="N1215" s="70"/>
    </row>
    <row r="1216" spans="14:14" x14ac:dyDescent="0.25">
      <c r="N1216" s="70"/>
    </row>
    <row r="1217" spans="14:14" x14ac:dyDescent="0.25">
      <c r="N1217" s="70"/>
    </row>
    <row r="1218" spans="14:14" x14ac:dyDescent="0.25">
      <c r="N1218" s="70"/>
    </row>
    <row r="1219" spans="14:14" x14ac:dyDescent="0.25">
      <c r="N1219" s="70"/>
    </row>
    <row r="1220" spans="14:14" x14ac:dyDescent="0.25">
      <c r="N1220" s="70"/>
    </row>
    <row r="1221" spans="14:14" x14ac:dyDescent="0.25">
      <c r="N1221" s="70"/>
    </row>
    <row r="1222" spans="14:14" x14ac:dyDescent="0.25">
      <c r="N1222" s="70"/>
    </row>
    <row r="1223" spans="14:14" x14ac:dyDescent="0.25">
      <c r="N1223" s="70"/>
    </row>
    <row r="1224" spans="14:14" x14ac:dyDescent="0.25">
      <c r="N1224" s="70"/>
    </row>
    <row r="1225" spans="14:14" x14ac:dyDescent="0.25">
      <c r="N1225" s="70"/>
    </row>
    <row r="1226" spans="14:14" x14ac:dyDescent="0.25">
      <c r="N1226" s="70"/>
    </row>
    <row r="1227" spans="14:14" x14ac:dyDescent="0.25">
      <c r="N1227" s="70"/>
    </row>
    <row r="1228" spans="14:14" x14ac:dyDescent="0.25">
      <c r="N1228" s="70"/>
    </row>
    <row r="1229" spans="14:14" x14ac:dyDescent="0.25">
      <c r="N1229" s="70"/>
    </row>
    <row r="1230" spans="14:14" x14ac:dyDescent="0.25">
      <c r="N1230" s="70"/>
    </row>
    <row r="1231" spans="14:14" x14ac:dyDescent="0.25">
      <c r="N1231" s="70"/>
    </row>
    <row r="1232" spans="14:14" x14ac:dyDescent="0.25">
      <c r="N1232" s="70"/>
    </row>
    <row r="1233" spans="14:14" x14ac:dyDescent="0.25">
      <c r="N1233" s="70"/>
    </row>
    <row r="1234" spans="14:14" x14ac:dyDescent="0.25">
      <c r="N1234" s="70"/>
    </row>
    <row r="1235" spans="14:14" x14ac:dyDescent="0.25">
      <c r="N1235" s="70"/>
    </row>
    <row r="1236" spans="14:14" x14ac:dyDescent="0.25">
      <c r="N1236" s="70"/>
    </row>
    <row r="1237" spans="14:14" x14ac:dyDescent="0.25">
      <c r="N1237" s="70"/>
    </row>
    <row r="1238" spans="14:14" x14ac:dyDescent="0.25">
      <c r="N1238" s="70"/>
    </row>
    <row r="1239" spans="14:14" x14ac:dyDescent="0.25">
      <c r="N1239" s="70"/>
    </row>
    <row r="1240" spans="14:14" x14ac:dyDescent="0.25">
      <c r="N1240" s="70"/>
    </row>
    <row r="1241" spans="14:14" x14ac:dyDescent="0.25">
      <c r="N1241" s="70"/>
    </row>
    <row r="1242" spans="14:14" x14ac:dyDescent="0.25">
      <c r="N1242" s="70"/>
    </row>
    <row r="1243" spans="14:14" x14ac:dyDescent="0.25">
      <c r="N1243" s="70"/>
    </row>
    <row r="1244" spans="14:14" x14ac:dyDescent="0.25">
      <c r="N1244" s="70"/>
    </row>
    <row r="1245" spans="14:14" x14ac:dyDescent="0.25">
      <c r="N1245" s="70"/>
    </row>
    <row r="1246" spans="14:14" x14ac:dyDescent="0.25">
      <c r="N1246" s="70"/>
    </row>
    <row r="1247" spans="14:14" x14ac:dyDescent="0.25">
      <c r="N1247" s="70"/>
    </row>
    <row r="1248" spans="14:14" x14ac:dyDescent="0.25">
      <c r="N1248" s="70"/>
    </row>
    <row r="1249" spans="14:14" x14ac:dyDescent="0.25">
      <c r="N1249" s="70"/>
    </row>
    <row r="1250" spans="14:14" x14ac:dyDescent="0.25">
      <c r="N1250" s="70"/>
    </row>
    <row r="1251" spans="14:14" x14ac:dyDescent="0.25">
      <c r="N1251" s="70"/>
    </row>
    <row r="1252" spans="14:14" x14ac:dyDescent="0.25">
      <c r="N1252" s="70"/>
    </row>
    <row r="1253" spans="14:14" x14ac:dyDescent="0.25">
      <c r="N1253" s="70"/>
    </row>
    <row r="1254" spans="14:14" x14ac:dyDescent="0.25">
      <c r="N1254" s="70"/>
    </row>
    <row r="1255" spans="14:14" x14ac:dyDescent="0.25">
      <c r="N1255" s="70"/>
    </row>
    <row r="1256" spans="14:14" x14ac:dyDescent="0.25">
      <c r="N1256" s="70"/>
    </row>
    <row r="1257" spans="14:14" x14ac:dyDescent="0.25">
      <c r="N1257" s="70"/>
    </row>
    <row r="1258" spans="14:14" x14ac:dyDescent="0.25">
      <c r="N1258" s="70"/>
    </row>
    <row r="1259" spans="14:14" x14ac:dyDescent="0.25">
      <c r="N1259" s="70"/>
    </row>
    <row r="1260" spans="14:14" x14ac:dyDescent="0.25">
      <c r="N1260" s="70"/>
    </row>
    <row r="1261" spans="14:14" x14ac:dyDescent="0.25">
      <c r="N1261" s="70"/>
    </row>
    <row r="1262" spans="14:14" x14ac:dyDescent="0.25">
      <c r="N1262" s="70"/>
    </row>
    <row r="1263" spans="14:14" x14ac:dyDescent="0.25">
      <c r="N1263" s="70"/>
    </row>
    <row r="1264" spans="14:14" x14ac:dyDescent="0.25">
      <c r="N1264" s="70"/>
    </row>
    <row r="1265" spans="14:14" x14ac:dyDescent="0.25">
      <c r="N1265" s="70"/>
    </row>
    <row r="1266" spans="14:14" x14ac:dyDescent="0.25">
      <c r="N1266" s="70"/>
    </row>
    <row r="1267" spans="14:14" x14ac:dyDescent="0.25">
      <c r="N1267" s="70"/>
    </row>
    <row r="1268" spans="14:14" x14ac:dyDescent="0.25">
      <c r="N1268" s="70"/>
    </row>
    <row r="1269" spans="14:14" x14ac:dyDescent="0.25">
      <c r="N1269" s="70"/>
    </row>
    <row r="1270" spans="14:14" x14ac:dyDescent="0.25">
      <c r="N1270" s="70"/>
    </row>
    <row r="1271" spans="14:14" x14ac:dyDescent="0.25">
      <c r="N1271" s="70"/>
    </row>
    <row r="1272" spans="14:14" x14ac:dyDescent="0.25">
      <c r="N1272" s="70"/>
    </row>
    <row r="1273" spans="14:14" x14ac:dyDescent="0.25">
      <c r="N1273" s="70"/>
    </row>
    <row r="1274" spans="14:14" x14ac:dyDescent="0.25">
      <c r="N1274" s="70"/>
    </row>
    <row r="1275" spans="14:14" x14ac:dyDescent="0.25">
      <c r="N1275" s="70"/>
    </row>
    <row r="1276" spans="14:14" x14ac:dyDescent="0.25">
      <c r="N1276" s="70"/>
    </row>
    <row r="1277" spans="14:14" x14ac:dyDescent="0.25">
      <c r="N1277" s="70"/>
    </row>
    <row r="1278" spans="14:14" x14ac:dyDescent="0.25">
      <c r="N1278" s="70"/>
    </row>
    <row r="1279" spans="14:14" x14ac:dyDescent="0.25">
      <c r="N1279" s="70"/>
    </row>
    <row r="1280" spans="14:14" x14ac:dyDescent="0.25">
      <c r="N1280" s="70"/>
    </row>
    <row r="1281" spans="14:14" x14ac:dyDescent="0.25">
      <c r="N1281" s="70"/>
    </row>
    <row r="1282" spans="14:14" x14ac:dyDescent="0.25">
      <c r="N1282" s="70"/>
    </row>
    <row r="1283" spans="14:14" x14ac:dyDescent="0.25">
      <c r="N1283" s="70"/>
    </row>
    <row r="1284" spans="14:14" x14ac:dyDescent="0.25">
      <c r="N1284" s="70"/>
    </row>
    <row r="1285" spans="14:14" x14ac:dyDescent="0.25">
      <c r="N1285" s="70"/>
    </row>
    <row r="1286" spans="14:14" x14ac:dyDescent="0.25">
      <c r="N1286" s="70"/>
    </row>
    <row r="1287" spans="14:14" x14ac:dyDescent="0.25">
      <c r="N1287" s="70"/>
    </row>
    <row r="1288" spans="14:14" x14ac:dyDescent="0.25">
      <c r="N1288" s="70"/>
    </row>
    <row r="1289" spans="14:14" x14ac:dyDescent="0.25">
      <c r="N1289" s="70"/>
    </row>
    <row r="1290" spans="14:14" x14ac:dyDescent="0.25">
      <c r="N1290" s="70"/>
    </row>
    <row r="1291" spans="14:14" x14ac:dyDescent="0.25">
      <c r="N1291" s="70"/>
    </row>
    <row r="1292" spans="14:14" x14ac:dyDescent="0.25">
      <c r="N1292" s="70"/>
    </row>
    <row r="1293" spans="14:14" x14ac:dyDescent="0.25">
      <c r="N1293" s="70"/>
    </row>
    <row r="1294" spans="14:14" x14ac:dyDescent="0.25">
      <c r="N1294" s="70"/>
    </row>
    <row r="1295" spans="14:14" x14ac:dyDescent="0.25">
      <c r="N1295" s="70"/>
    </row>
    <row r="1296" spans="14:14" x14ac:dyDescent="0.25">
      <c r="N1296" s="70"/>
    </row>
    <row r="1297" spans="14:14" x14ac:dyDescent="0.25">
      <c r="N1297" s="70"/>
    </row>
    <row r="1298" spans="14:14" x14ac:dyDescent="0.25">
      <c r="N1298" s="70"/>
    </row>
    <row r="1299" spans="14:14" x14ac:dyDescent="0.25">
      <c r="N1299" s="70"/>
    </row>
    <row r="1300" spans="14:14" x14ac:dyDescent="0.25">
      <c r="N1300" s="70"/>
    </row>
    <row r="1301" spans="14:14" x14ac:dyDescent="0.25">
      <c r="N1301" s="70"/>
    </row>
    <row r="1302" spans="14:14" x14ac:dyDescent="0.25">
      <c r="N1302" s="70"/>
    </row>
    <row r="1303" spans="14:14" x14ac:dyDescent="0.25">
      <c r="N1303" s="70"/>
    </row>
    <row r="1304" spans="14:14" x14ac:dyDescent="0.25">
      <c r="N1304" s="70"/>
    </row>
    <row r="1305" spans="14:14" x14ac:dyDescent="0.25">
      <c r="N1305" s="70"/>
    </row>
    <row r="1306" spans="14:14" x14ac:dyDescent="0.25">
      <c r="N1306" s="70"/>
    </row>
    <row r="1307" spans="14:14" x14ac:dyDescent="0.25">
      <c r="N1307" s="70"/>
    </row>
    <row r="1308" spans="14:14" x14ac:dyDescent="0.25">
      <c r="N1308" s="70"/>
    </row>
    <row r="1309" spans="14:14" x14ac:dyDescent="0.25">
      <c r="N1309" s="70"/>
    </row>
    <row r="1310" spans="14:14" x14ac:dyDescent="0.25">
      <c r="N1310" s="70"/>
    </row>
    <row r="1311" spans="14:14" x14ac:dyDescent="0.25">
      <c r="N1311" s="70"/>
    </row>
    <row r="1312" spans="14:14" x14ac:dyDescent="0.25">
      <c r="N1312" s="70"/>
    </row>
    <row r="1313" spans="14:14" x14ac:dyDescent="0.25">
      <c r="N1313" s="70"/>
    </row>
    <row r="1314" spans="14:14" x14ac:dyDescent="0.25">
      <c r="N1314" s="70"/>
    </row>
    <row r="1315" spans="14:14" x14ac:dyDescent="0.25">
      <c r="N1315" s="70"/>
    </row>
    <row r="1316" spans="14:14" x14ac:dyDescent="0.25">
      <c r="N1316" s="70"/>
    </row>
    <row r="1317" spans="14:14" x14ac:dyDescent="0.25">
      <c r="N1317" s="70"/>
    </row>
    <row r="1318" spans="14:14" x14ac:dyDescent="0.25">
      <c r="N1318" s="70"/>
    </row>
    <row r="1319" spans="14:14" x14ac:dyDescent="0.25">
      <c r="N1319" s="70"/>
    </row>
    <row r="1320" spans="14:14" x14ac:dyDescent="0.25">
      <c r="N1320" s="70"/>
    </row>
    <row r="1321" spans="14:14" x14ac:dyDescent="0.25">
      <c r="N1321" s="70"/>
    </row>
    <row r="1322" spans="14:14" x14ac:dyDescent="0.25">
      <c r="N1322" s="70"/>
    </row>
    <row r="1323" spans="14:14" x14ac:dyDescent="0.25">
      <c r="N1323" s="70"/>
    </row>
    <row r="1324" spans="14:14" x14ac:dyDescent="0.25">
      <c r="N1324" s="70"/>
    </row>
    <row r="1325" spans="14:14" x14ac:dyDescent="0.25">
      <c r="N1325" s="70"/>
    </row>
    <row r="1326" spans="14:14" x14ac:dyDescent="0.25">
      <c r="N1326" s="70"/>
    </row>
    <row r="1327" spans="14:14" x14ac:dyDescent="0.25">
      <c r="N1327" s="70"/>
    </row>
    <row r="1328" spans="14:14" x14ac:dyDescent="0.25">
      <c r="N1328" s="70"/>
    </row>
    <row r="1329" spans="14:14" x14ac:dyDescent="0.25">
      <c r="N1329" s="70"/>
    </row>
    <row r="1330" spans="14:14" x14ac:dyDescent="0.25">
      <c r="N1330" s="70"/>
    </row>
    <row r="1331" spans="14:14" x14ac:dyDescent="0.25">
      <c r="N1331" s="70"/>
    </row>
    <row r="1332" spans="14:14" x14ac:dyDescent="0.25">
      <c r="N1332" s="70"/>
    </row>
    <row r="1333" spans="14:14" x14ac:dyDescent="0.25">
      <c r="N1333" s="70"/>
    </row>
    <row r="1334" spans="14:14" x14ac:dyDescent="0.25">
      <c r="N1334" s="70"/>
    </row>
    <row r="1335" spans="14:14" x14ac:dyDescent="0.25">
      <c r="N1335" s="70"/>
    </row>
    <row r="1336" spans="14:14" x14ac:dyDescent="0.25">
      <c r="N1336" s="70"/>
    </row>
    <row r="1337" spans="14:14" x14ac:dyDescent="0.25">
      <c r="N1337" s="70"/>
    </row>
    <row r="1338" spans="14:14" x14ac:dyDescent="0.25">
      <c r="N1338" s="70"/>
    </row>
    <row r="1339" spans="14:14" x14ac:dyDescent="0.25">
      <c r="N1339" s="70"/>
    </row>
    <row r="1340" spans="14:14" x14ac:dyDescent="0.25">
      <c r="N1340" s="70"/>
    </row>
    <row r="1341" spans="14:14" x14ac:dyDescent="0.25">
      <c r="N1341" s="70"/>
    </row>
    <row r="1342" spans="14:14" x14ac:dyDescent="0.25">
      <c r="N1342" s="70"/>
    </row>
    <row r="1343" spans="14:14" x14ac:dyDescent="0.25">
      <c r="N1343" s="70"/>
    </row>
    <row r="1344" spans="14:14" x14ac:dyDescent="0.25">
      <c r="N1344" s="70"/>
    </row>
    <row r="1345" spans="14:14" x14ac:dyDescent="0.25">
      <c r="N1345" s="70"/>
    </row>
    <row r="1346" spans="14:14" x14ac:dyDescent="0.25">
      <c r="N1346" s="70"/>
    </row>
    <row r="1347" spans="14:14" x14ac:dyDescent="0.25">
      <c r="N1347" s="70"/>
    </row>
    <row r="1348" spans="14:14" x14ac:dyDescent="0.25">
      <c r="N1348" s="70"/>
    </row>
    <row r="1349" spans="14:14" x14ac:dyDescent="0.25">
      <c r="N1349" s="70"/>
    </row>
    <row r="1350" spans="14:14" x14ac:dyDescent="0.25">
      <c r="N1350" s="70"/>
    </row>
    <row r="1351" spans="14:14" x14ac:dyDescent="0.25">
      <c r="N1351" s="70"/>
    </row>
    <row r="1352" spans="14:14" x14ac:dyDescent="0.25">
      <c r="N1352" s="70"/>
    </row>
    <row r="1353" spans="14:14" x14ac:dyDescent="0.25">
      <c r="N1353" s="70"/>
    </row>
    <row r="1354" spans="14:14" x14ac:dyDescent="0.25">
      <c r="N1354" s="70"/>
    </row>
    <row r="1355" spans="14:14" x14ac:dyDescent="0.25">
      <c r="N1355" s="70"/>
    </row>
    <row r="1356" spans="14:14" x14ac:dyDescent="0.25">
      <c r="N1356" s="70"/>
    </row>
    <row r="1357" spans="14:14" x14ac:dyDescent="0.25">
      <c r="N1357" s="70"/>
    </row>
    <row r="1358" spans="14:14" x14ac:dyDescent="0.25">
      <c r="N1358" s="70"/>
    </row>
    <row r="1359" spans="14:14" x14ac:dyDescent="0.25">
      <c r="N1359" s="70"/>
    </row>
    <row r="1360" spans="14:14" x14ac:dyDescent="0.25">
      <c r="N1360" s="70"/>
    </row>
    <row r="1361" spans="14:14" x14ac:dyDescent="0.25">
      <c r="N1361" s="70"/>
    </row>
    <row r="1362" spans="14:14" x14ac:dyDescent="0.25">
      <c r="N1362" s="70"/>
    </row>
    <row r="1363" spans="14:14" x14ac:dyDescent="0.25">
      <c r="N1363" s="70"/>
    </row>
    <row r="1364" spans="14:14" x14ac:dyDescent="0.25">
      <c r="N1364" s="70"/>
    </row>
    <row r="1365" spans="14:14" x14ac:dyDescent="0.25">
      <c r="N1365" s="70"/>
    </row>
    <row r="1366" spans="14:14" x14ac:dyDescent="0.25">
      <c r="N1366" s="70"/>
    </row>
    <row r="1367" spans="14:14" x14ac:dyDescent="0.25">
      <c r="N1367" s="70"/>
    </row>
    <row r="1368" spans="14:14" x14ac:dyDescent="0.25">
      <c r="N1368" s="70"/>
    </row>
    <row r="1369" spans="14:14" x14ac:dyDescent="0.25">
      <c r="N1369" s="70"/>
    </row>
    <row r="1370" spans="14:14" x14ac:dyDescent="0.25">
      <c r="N1370" s="70"/>
    </row>
    <row r="1371" spans="14:14" x14ac:dyDescent="0.25">
      <c r="N1371" s="70"/>
    </row>
    <row r="1372" spans="14:14" x14ac:dyDescent="0.25">
      <c r="N1372" s="70"/>
    </row>
    <row r="1373" spans="14:14" x14ac:dyDescent="0.25">
      <c r="N1373" s="70"/>
    </row>
    <row r="1374" spans="14:14" x14ac:dyDescent="0.25">
      <c r="N1374" s="70"/>
    </row>
    <row r="1375" spans="14:14" x14ac:dyDescent="0.25">
      <c r="N1375" s="70"/>
    </row>
    <row r="1376" spans="14:14" x14ac:dyDescent="0.25">
      <c r="N1376" s="70"/>
    </row>
    <row r="1377" spans="14:14" x14ac:dyDescent="0.25">
      <c r="N1377" s="70"/>
    </row>
    <row r="1378" spans="14:14" x14ac:dyDescent="0.25">
      <c r="N1378" s="70"/>
    </row>
    <row r="1379" spans="14:14" x14ac:dyDescent="0.25">
      <c r="N1379" s="70"/>
    </row>
    <row r="1380" spans="14:14" x14ac:dyDescent="0.25">
      <c r="N1380" s="70"/>
    </row>
    <row r="1381" spans="14:14" x14ac:dyDescent="0.25">
      <c r="N1381" s="70"/>
    </row>
    <row r="1382" spans="14:14" x14ac:dyDescent="0.25">
      <c r="N1382" s="70"/>
    </row>
    <row r="1383" spans="14:14" x14ac:dyDescent="0.25">
      <c r="N1383" s="70"/>
    </row>
    <row r="1384" spans="14:14" x14ac:dyDescent="0.25">
      <c r="N1384" s="70"/>
    </row>
    <row r="1385" spans="14:14" x14ac:dyDescent="0.25">
      <c r="N1385" s="70"/>
    </row>
    <row r="1386" spans="14:14" x14ac:dyDescent="0.25">
      <c r="N1386" s="70"/>
    </row>
    <row r="1387" spans="14:14" x14ac:dyDescent="0.25">
      <c r="N1387" s="70"/>
    </row>
    <row r="1388" spans="14:14" x14ac:dyDescent="0.25">
      <c r="N1388" s="70"/>
    </row>
    <row r="1389" spans="14:14" x14ac:dyDescent="0.25">
      <c r="N1389" s="70"/>
    </row>
    <row r="1390" spans="14:14" x14ac:dyDescent="0.25">
      <c r="N1390" s="70"/>
    </row>
    <row r="1391" spans="14:14" x14ac:dyDescent="0.25">
      <c r="N1391" s="70"/>
    </row>
    <row r="1392" spans="14:14" x14ac:dyDescent="0.25">
      <c r="N1392" s="70"/>
    </row>
    <row r="1393" spans="14:14" x14ac:dyDescent="0.25">
      <c r="N1393" s="70"/>
    </row>
    <row r="1394" spans="14:14" x14ac:dyDescent="0.25">
      <c r="N1394" s="70"/>
    </row>
    <row r="1395" spans="14:14" x14ac:dyDescent="0.25">
      <c r="N1395" s="70"/>
    </row>
    <row r="1396" spans="14:14" x14ac:dyDescent="0.25">
      <c r="N1396" s="70"/>
    </row>
    <row r="1397" spans="14:14" x14ac:dyDescent="0.25">
      <c r="N1397" s="70"/>
    </row>
    <row r="1398" spans="14:14" x14ac:dyDescent="0.25">
      <c r="N1398" s="70"/>
    </row>
    <row r="1399" spans="14:14" x14ac:dyDescent="0.25">
      <c r="N1399" s="70"/>
    </row>
    <row r="1400" spans="14:14" x14ac:dyDescent="0.25">
      <c r="N1400" s="70"/>
    </row>
    <row r="1401" spans="14:14" x14ac:dyDescent="0.25">
      <c r="N1401" s="70"/>
    </row>
    <row r="1402" spans="14:14" x14ac:dyDescent="0.25">
      <c r="N1402" s="70"/>
    </row>
    <row r="1403" spans="14:14" x14ac:dyDescent="0.25">
      <c r="N1403" s="70"/>
    </row>
    <row r="1404" spans="14:14" x14ac:dyDescent="0.25">
      <c r="N1404" s="70"/>
    </row>
    <row r="1405" spans="14:14" x14ac:dyDescent="0.25">
      <c r="N1405" s="70"/>
    </row>
    <row r="1406" spans="14:14" x14ac:dyDescent="0.25">
      <c r="N1406" s="70"/>
    </row>
    <row r="1407" spans="14:14" x14ac:dyDescent="0.25">
      <c r="N1407" s="70"/>
    </row>
    <row r="1408" spans="14:14" x14ac:dyDescent="0.25">
      <c r="N1408" s="70"/>
    </row>
    <row r="1409" spans="14:14" x14ac:dyDescent="0.25">
      <c r="N1409" s="70"/>
    </row>
    <row r="1410" spans="14:14" x14ac:dyDescent="0.25">
      <c r="N1410" s="70"/>
    </row>
    <row r="1411" spans="14:14" x14ac:dyDescent="0.25">
      <c r="N1411" s="70"/>
    </row>
    <row r="1412" spans="14:14" x14ac:dyDescent="0.25">
      <c r="N1412" s="70"/>
    </row>
    <row r="1413" spans="14:14" x14ac:dyDescent="0.25">
      <c r="N1413" s="70"/>
    </row>
    <row r="1414" spans="14:14" x14ac:dyDescent="0.25">
      <c r="N1414" s="70"/>
    </row>
    <row r="1415" spans="14:14" x14ac:dyDescent="0.25">
      <c r="N1415" s="70"/>
    </row>
    <row r="1416" spans="14:14" x14ac:dyDescent="0.25">
      <c r="N1416" s="70"/>
    </row>
    <row r="1417" spans="14:14" x14ac:dyDescent="0.25">
      <c r="N1417" s="70"/>
    </row>
    <row r="1418" spans="14:14" x14ac:dyDescent="0.25">
      <c r="N1418" s="70"/>
    </row>
    <row r="1419" spans="14:14" x14ac:dyDescent="0.25">
      <c r="N1419" s="70"/>
    </row>
    <row r="1420" spans="14:14" x14ac:dyDescent="0.25">
      <c r="N1420" s="70"/>
    </row>
    <row r="1421" spans="14:14" x14ac:dyDescent="0.25">
      <c r="N1421" s="70"/>
    </row>
    <row r="1422" spans="14:14" x14ac:dyDescent="0.25">
      <c r="N1422" s="70"/>
    </row>
    <row r="1423" spans="14:14" x14ac:dyDescent="0.25">
      <c r="N1423" s="70"/>
    </row>
    <row r="1424" spans="14:14" x14ac:dyDescent="0.25">
      <c r="N1424" s="70"/>
    </row>
    <row r="1425" spans="14:14" x14ac:dyDescent="0.25">
      <c r="N1425" s="70"/>
    </row>
    <row r="1426" spans="14:14" x14ac:dyDescent="0.25">
      <c r="N1426" s="70"/>
    </row>
    <row r="1427" spans="14:14" x14ac:dyDescent="0.25">
      <c r="N1427" s="70"/>
    </row>
    <row r="1428" spans="14:14" x14ac:dyDescent="0.25">
      <c r="N1428" s="70"/>
    </row>
    <row r="1429" spans="14:14" x14ac:dyDescent="0.25">
      <c r="N1429" s="70"/>
    </row>
    <row r="1430" spans="14:14" x14ac:dyDescent="0.25">
      <c r="N1430" s="70"/>
    </row>
    <row r="1431" spans="14:14" x14ac:dyDescent="0.25">
      <c r="N1431" s="70"/>
    </row>
    <row r="1432" spans="14:14" x14ac:dyDescent="0.25">
      <c r="N1432" s="70"/>
    </row>
    <row r="1433" spans="14:14" x14ac:dyDescent="0.25">
      <c r="N1433" s="70"/>
    </row>
    <row r="1434" spans="14:14" x14ac:dyDescent="0.25">
      <c r="N1434" s="70"/>
    </row>
    <row r="1435" spans="14:14" x14ac:dyDescent="0.25">
      <c r="N1435" s="70"/>
    </row>
    <row r="1436" spans="14:14" x14ac:dyDescent="0.25">
      <c r="N1436" s="70"/>
    </row>
    <row r="1437" spans="14:14" x14ac:dyDescent="0.25">
      <c r="N1437" s="70"/>
    </row>
    <row r="1438" spans="14:14" x14ac:dyDescent="0.25">
      <c r="N1438" s="70"/>
    </row>
    <row r="1439" spans="14:14" x14ac:dyDescent="0.25">
      <c r="N1439" s="70"/>
    </row>
    <row r="1440" spans="14:14" x14ac:dyDescent="0.25">
      <c r="N1440" s="70"/>
    </row>
    <row r="1441" spans="14:14" x14ac:dyDescent="0.25">
      <c r="N1441" s="70"/>
    </row>
    <row r="1442" spans="14:14" x14ac:dyDescent="0.25">
      <c r="N1442" s="70"/>
    </row>
    <row r="1443" spans="14:14" x14ac:dyDescent="0.25">
      <c r="N1443" s="70"/>
    </row>
    <row r="1444" spans="14:14" x14ac:dyDescent="0.25">
      <c r="N1444" s="70"/>
    </row>
    <row r="1445" spans="14:14" x14ac:dyDescent="0.25">
      <c r="N1445" s="70"/>
    </row>
    <row r="1446" spans="14:14" x14ac:dyDescent="0.25">
      <c r="N1446" s="70"/>
    </row>
    <row r="1447" spans="14:14" x14ac:dyDescent="0.25">
      <c r="N1447" s="70"/>
    </row>
    <row r="1448" spans="14:14" x14ac:dyDescent="0.25">
      <c r="N1448" s="70"/>
    </row>
    <row r="1449" spans="14:14" x14ac:dyDescent="0.25">
      <c r="N1449" s="70"/>
    </row>
    <row r="1450" spans="14:14" x14ac:dyDescent="0.25">
      <c r="N1450" s="70"/>
    </row>
    <row r="1451" spans="14:14" x14ac:dyDescent="0.25">
      <c r="N1451" s="70"/>
    </row>
    <row r="1452" spans="14:14" x14ac:dyDescent="0.25">
      <c r="N1452" s="70"/>
    </row>
    <row r="1453" spans="14:14" x14ac:dyDescent="0.25">
      <c r="N1453" s="70"/>
    </row>
    <row r="1454" spans="14:14" x14ac:dyDescent="0.25">
      <c r="N1454" s="70"/>
    </row>
    <row r="1455" spans="14:14" x14ac:dyDescent="0.25">
      <c r="N1455" s="70"/>
    </row>
    <row r="1456" spans="14:14" x14ac:dyDescent="0.25">
      <c r="N1456" s="70"/>
    </row>
    <row r="1457" spans="14:14" x14ac:dyDescent="0.25">
      <c r="N1457" s="70"/>
    </row>
    <row r="1458" spans="14:14" x14ac:dyDescent="0.25">
      <c r="N1458" s="70"/>
    </row>
    <row r="1459" spans="14:14" x14ac:dyDescent="0.25">
      <c r="N1459" s="70"/>
    </row>
    <row r="1460" spans="14:14" x14ac:dyDescent="0.25">
      <c r="N1460" s="70"/>
    </row>
    <row r="1461" spans="14:14" x14ac:dyDescent="0.25">
      <c r="N1461" s="70"/>
    </row>
    <row r="1462" spans="14:14" x14ac:dyDescent="0.25">
      <c r="N1462" s="70"/>
    </row>
    <row r="1463" spans="14:14" x14ac:dyDescent="0.25">
      <c r="N1463" s="70"/>
    </row>
    <row r="1464" spans="14:14" x14ac:dyDescent="0.25">
      <c r="N1464" s="70"/>
    </row>
    <row r="1465" spans="14:14" x14ac:dyDescent="0.25">
      <c r="N1465" s="70"/>
    </row>
    <row r="1466" spans="14:14" x14ac:dyDescent="0.25">
      <c r="N1466" s="70"/>
    </row>
    <row r="1467" spans="14:14" x14ac:dyDescent="0.25">
      <c r="N1467" s="70"/>
    </row>
    <row r="1468" spans="14:14" x14ac:dyDescent="0.25">
      <c r="N1468" s="70"/>
    </row>
    <row r="1469" spans="14:14" x14ac:dyDescent="0.25">
      <c r="N1469" s="70"/>
    </row>
    <row r="1470" spans="14:14" x14ac:dyDescent="0.25">
      <c r="N1470" s="70"/>
    </row>
    <row r="1471" spans="14:14" x14ac:dyDescent="0.25">
      <c r="N1471" s="70"/>
    </row>
    <row r="1472" spans="14:14" x14ac:dyDescent="0.25">
      <c r="N1472" s="70"/>
    </row>
    <row r="1473" spans="14:14" x14ac:dyDescent="0.25">
      <c r="N1473" s="70"/>
    </row>
    <row r="1474" spans="14:14" x14ac:dyDescent="0.25">
      <c r="N1474" s="70"/>
    </row>
    <row r="1475" spans="14:14" x14ac:dyDescent="0.25">
      <c r="N1475" s="70"/>
    </row>
    <row r="1476" spans="14:14" x14ac:dyDescent="0.25">
      <c r="N1476" s="70"/>
    </row>
    <row r="1477" spans="14:14" x14ac:dyDescent="0.25">
      <c r="N1477" s="70"/>
    </row>
    <row r="1478" spans="14:14" x14ac:dyDescent="0.25">
      <c r="N1478" s="70"/>
    </row>
    <row r="1479" spans="14:14" x14ac:dyDescent="0.25">
      <c r="N1479" s="70"/>
    </row>
    <row r="1480" spans="14:14" x14ac:dyDescent="0.25">
      <c r="N1480" s="70"/>
    </row>
    <row r="1481" spans="14:14" x14ac:dyDescent="0.25">
      <c r="N1481" s="70"/>
    </row>
    <row r="1482" spans="14:14" x14ac:dyDescent="0.25">
      <c r="N1482" s="70"/>
    </row>
    <row r="1483" spans="14:14" x14ac:dyDescent="0.25">
      <c r="N1483" s="70"/>
    </row>
    <row r="1484" spans="14:14" x14ac:dyDescent="0.25">
      <c r="N1484" s="70"/>
    </row>
    <row r="1485" spans="14:14" x14ac:dyDescent="0.25">
      <c r="N1485" s="70"/>
    </row>
    <row r="1486" spans="14:14" x14ac:dyDescent="0.25">
      <c r="N1486" s="70"/>
    </row>
    <row r="1487" spans="14:14" x14ac:dyDescent="0.25">
      <c r="N1487" s="70"/>
    </row>
    <row r="1488" spans="14:14" x14ac:dyDescent="0.25">
      <c r="N1488" s="70"/>
    </row>
    <row r="1489" spans="14:14" x14ac:dyDescent="0.25">
      <c r="N1489" s="70"/>
    </row>
    <row r="1490" spans="14:14" x14ac:dyDescent="0.25">
      <c r="N1490" s="70"/>
    </row>
    <row r="1491" spans="14:14" x14ac:dyDescent="0.25">
      <c r="N1491" s="70"/>
    </row>
    <row r="1492" spans="14:14" x14ac:dyDescent="0.25">
      <c r="N1492" s="70"/>
    </row>
    <row r="1493" spans="14:14" x14ac:dyDescent="0.25">
      <c r="N1493" s="70"/>
    </row>
    <row r="1494" spans="14:14" x14ac:dyDescent="0.25">
      <c r="N1494" s="70"/>
    </row>
    <row r="1495" spans="14:14" x14ac:dyDescent="0.25">
      <c r="N1495" s="70"/>
    </row>
    <row r="1496" spans="14:14" x14ac:dyDescent="0.25">
      <c r="N1496" s="70"/>
    </row>
    <row r="1497" spans="14:14" x14ac:dyDescent="0.25">
      <c r="N1497" s="70"/>
    </row>
    <row r="1498" spans="14:14" x14ac:dyDescent="0.25">
      <c r="N1498" s="70"/>
    </row>
    <row r="1499" spans="14:14" x14ac:dyDescent="0.25">
      <c r="N1499" s="70"/>
    </row>
    <row r="1500" spans="14:14" x14ac:dyDescent="0.25">
      <c r="N1500" s="70"/>
    </row>
    <row r="1501" spans="14:14" x14ac:dyDescent="0.25">
      <c r="N1501" s="70"/>
    </row>
    <row r="1502" spans="14:14" x14ac:dyDescent="0.25">
      <c r="N1502" s="70"/>
    </row>
    <row r="1503" spans="14:14" x14ac:dyDescent="0.25">
      <c r="N1503" s="70"/>
    </row>
    <row r="1504" spans="14:14" x14ac:dyDescent="0.25">
      <c r="N1504" s="70"/>
    </row>
    <row r="1505" spans="14:14" x14ac:dyDescent="0.25">
      <c r="N1505" s="70"/>
    </row>
    <row r="1506" spans="14:14" x14ac:dyDescent="0.25">
      <c r="N1506" s="70"/>
    </row>
    <row r="1507" spans="14:14" x14ac:dyDescent="0.25">
      <c r="N1507" s="70"/>
    </row>
    <row r="1508" spans="14:14" x14ac:dyDescent="0.25">
      <c r="N1508" s="70"/>
    </row>
    <row r="1509" spans="14:14" x14ac:dyDescent="0.25">
      <c r="N1509" s="70"/>
    </row>
    <row r="1510" spans="14:14" x14ac:dyDescent="0.25">
      <c r="N1510" s="70"/>
    </row>
    <row r="1511" spans="14:14" x14ac:dyDescent="0.25">
      <c r="N1511" s="70"/>
    </row>
    <row r="1512" spans="14:14" x14ac:dyDescent="0.25">
      <c r="N1512" s="70"/>
    </row>
    <row r="1513" spans="14:14" x14ac:dyDescent="0.25">
      <c r="N1513" s="70"/>
    </row>
    <row r="1514" spans="14:14" x14ac:dyDescent="0.25">
      <c r="N1514" s="70"/>
    </row>
    <row r="1515" spans="14:14" x14ac:dyDescent="0.25">
      <c r="N1515" s="70"/>
    </row>
    <row r="1516" spans="14:14" x14ac:dyDescent="0.25">
      <c r="N1516" s="70"/>
    </row>
    <row r="1517" spans="14:14" x14ac:dyDescent="0.25">
      <c r="N1517" s="70"/>
    </row>
    <row r="1518" spans="14:14" x14ac:dyDescent="0.25">
      <c r="N1518" s="70"/>
    </row>
    <row r="1519" spans="14:14" x14ac:dyDescent="0.25">
      <c r="N1519" s="70"/>
    </row>
    <row r="1520" spans="14:14" x14ac:dyDescent="0.25">
      <c r="N1520" s="70"/>
    </row>
    <row r="1521" spans="14:14" x14ac:dyDescent="0.25">
      <c r="N1521" s="70"/>
    </row>
    <row r="1522" spans="14:14" x14ac:dyDescent="0.25">
      <c r="N1522" s="70"/>
    </row>
    <row r="1523" spans="14:14" x14ac:dyDescent="0.25">
      <c r="N1523" s="70"/>
    </row>
    <row r="1524" spans="14:14" x14ac:dyDescent="0.25">
      <c r="N1524" s="70"/>
    </row>
    <row r="1525" spans="14:14" x14ac:dyDescent="0.25">
      <c r="N1525" s="70"/>
    </row>
    <row r="1526" spans="14:14" x14ac:dyDescent="0.25">
      <c r="N1526" s="70"/>
    </row>
    <row r="1527" spans="14:14" x14ac:dyDescent="0.25">
      <c r="N1527" s="70"/>
    </row>
    <row r="1528" spans="14:14" x14ac:dyDescent="0.25">
      <c r="N1528" s="70"/>
    </row>
    <row r="1529" spans="14:14" x14ac:dyDescent="0.25">
      <c r="N1529" s="70"/>
    </row>
    <row r="1530" spans="14:14" x14ac:dyDescent="0.25">
      <c r="N1530" s="70"/>
    </row>
    <row r="1531" spans="14:14" x14ac:dyDescent="0.25">
      <c r="N1531" s="70"/>
    </row>
    <row r="1532" spans="14:14" x14ac:dyDescent="0.25">
      <c r="N1532" s="70"/>
    </row>
    <row r="1533" spans="14:14" x14ac:dyDescent="0.25">
      <c r="N1533" s="70"/>
    </row>
    <row r="1534" spans="14:14" x14ac:dyDescent="0.25">
      <c r="N1534" s="70"/>
    </row>
    <row r="1535" spans="14:14" x14ac:dyDescent="0.25">
      <c r="N1535" s="70"/>
    </row>
    <row r="1536" spans="14:14" x14ac:dyDescent="0.25">
      <c r="N1536" s="70"/>
    </row>
    <row r="1537" spans="14:14" x14ac:dyDescent="0.25">
      <c r="N1537" s="70"/>
    </row>
    <row r="1538" spans="14:14" x14ac:dyDescent="0.25">
      <c r="N1538" s="70"/>
    </row>
    <row r="1539" spans="14:14" x14ac:dyDescent="0.25">
      <c r="N1539" s="70"/>
    </row>
    <row r="1540" spans="14:14" x14ac:dyDescent="0.25">
      <c r="N1540" s="70"/>
    </row>
    <row r="1541" spans="14:14" x14ac:dyDescent="0.25">
      <c r="N1541" s="70"/>
    </row>
    <row r="1542" spans="14:14" x14ac:dyDescent="0.25">
      <c r="N1542" s="70"/>
    </row>
    <row r="1543" spans="14:14" x14ac:dyDescent="0.25">
      <c r="N1543" s="70"/>
    </row>
    <row r="1544" spans="14:14" x14ac:dyDescent="0.25">
      <c r="N1544" s="70"/>
    </row>
    <row r="1545" spans="14:14" x14ac:dyDescent="0.25">
      <c r="N1545" s="70"/>
    </row>
    <row r="1546" spans="14:14" x14ac:dyDescent="0.25">
      <c r="N1546" s="70"/>
    </row>
    <row r="1547" spans="14:14" x14ac:dyDescent="0.25">
      <c r="N1547" s="70"/>
    </row>
    <row r="1548" spans="14:14" x14ac:dyDescent="0.25">
      <c r="N1548" s="70"/>
    </row>
    <row r="1549" spans="14:14" x14ac:dyDescent="0.25">
      <c r="N1549" s="70"/>
    </row>
    <row r="1550" spans="14:14" x14ac:dyDescent="0.25">
      <c r="N1550" s="70"/>
    </row>
    <row r="1551" spans="14:14" x14ac:dyDescent="0.25">
      <c r="N1551" s="70"/>
    </row>
    <row r="1552" spans="14:14" x14ac:dyDescent="0.25">
      <c r="N1552" s="70"/>
    </row>
    <row r="1553" spans="14:14" x14ac:dyDescent="0.25">
      <c r="N1553" s="70"/>
    </row>
    <row r="1554" spans="14:14" x14ac:dyDescent="0.25">
      <c r="N1554" s="70"/>
    </row>
    <row r="1555" spans="14:14" x14ac:dyDescent="0.25">
      <c r="N1555" s="70"/>
    </row>
    <row r="1556" spans="14:14" x14ac:dyDescent="0.25">
      <c r="N1556" s="70"/>
    </row>
    <row r="1557" spans="14:14" x14ac:dyDescent="0.25">
      <c r="N1557" s="70"/>
    </row>
    <row r="1558" spans="14:14" x14ac:dyDescent="0.25">
      <c r="N1558" s="70"/>
    </row>
    <row r="1559" spans="14:14" x14ac:dyDescent="0.25">
      <c r="N1559" s="70"/>
    </row>
    <row r="1560" spans="14:14" x14ac:dyDescent="0.25">
      <c r="N1560" s="70"/>
    </row>
    <row r="1561" spans="14:14" x14ac:dyDescent="0.25">
      <c r="N1561" s="70"/>
    </row>
    <row r="1562" spans="14:14" x14ac:dyDescent="0.25">
      <c r="N1562" s="70"/>
    </row>
    <row r="1563" spans="14:14" x14ac:dyDescent="0.25">
      <c r="N1563" s="70"/>
    </row>
    <row r="1564" spans="14:14" x14ac:dyDescent="0.25">
      <c r="N1564" s="70"/>
    </row>
    <row r="1565" spans="14:14" x14ac:dyDescent="0.25">
      <c r="N1565" s="70"/>
    </row>
    <row r="1566" spans="14:14" x14ac:dyDescent="0.25">
      <c r="N1566" s="70"/>
    </row>
    <row r="1567" spans="14:14" x14ac:dyDescent="0.25">
      <c r="N1567" s="70"/>
    </row>
    <row r="1568" spans="14:14" x14ac:dyDescent="0.25">
      <c r="N1568" s="70"/>
    </row>
    <row r="1569" spans="14:14" x14ac:dyDescent="0.25">
      <c r="N1569" s="70"/>
    </row>
    <row r="1570" spans="14:14" x14ac:dyDescent="0.25">
      <c r="N1570" s="70"/>
    </row>
    <row r="1571" spans="14:14" x14ac:dyDescent="0.25">
      <c r="N1571" s="70"/>
    </row>
    <row r="1572" spans="14:14" x14ac:dyDescent="0.25">
      <c r="N1572" s="70"/>
    </row>
    <row r="1573" spans="14:14" x14ac:dyDescent="0.25">
      <c r="N1573" s="70"/>
    </row>
    <row r="1574" spans="14:14" x14ac:dyDescent="0.25">
      <c r="N1574" s="70"/>
    </row>
    <row r="1575" spans="14:14" x14ac:dyDescent="0.25">
      <c r="N1575" s="70"/>
    </row>
    <row r="1576" spans="14:14" x14ac:dyDescent="0.25">
      <c r="N1576" s="70"/>
    </row>
    <row r="1577" spans="14:14" x14ac:dyDescent="0.25">
      <c r="N1577" s="70"/>
    </row>
    <row r="1578" spans="14:14" x14ac:dyDescent="0.25">
      <c r="N1578" s="70"/>
    </row>
    <row r="1579" spans="14:14" x14ac:dyDescent="0.25">
      <c r="N1579" s="70"/>
    </row>
    <row r="1580" spans="14:14" x14ac:dyDescent="0.25">
      <c r="N1580" s="70"/>
    </row>
    <row r="1581" spans="14:14" x14ac:dyDescent="0.25">
      <c r="N1581" s="70"/>
    </row>
    <row r="1582" spans="14:14" x14ac:dyDescent="0.25">
      <c r="N1582" s="70"/>
    </row>
    <row r="1583" spans="14:14" x14ac:dyDescent="0.25">
      <c r="N1583" s="70"/>
    </row>
    <row r="1584" spans="14:14" x14ac:dyDescent="0.25">
      <c r="N1584" s="70"/>
    </row>
    <row r="1585" spans="14:14" x14ac:dyDescent="0.25">
      <c r="N1585" s="70"/>
    </row>
    <row r="1586" spans="14:14" x14ac:dyDescent="0.25">
      <c r="N1586" s="70"/>
    </row>
    <row r="1587" spans="14:14" x14ac:dyDescent="0.25">
      <c r="N1587" s="70"/>
    </row>
    <row r="1588" spans="14:14" x14ac:dyDescent="0.25">
      <c r="N1588" s="70"/>
    </row>
    <row r="1589" spans="14:14" x14ac:dyDescent="0.25">
      <c r="N1589" s="70"/>
    </row>
    <row r="1590" spans="14:14" x14ac:dyDescent="0.25">
      <c r="N1590" s="70"/>
    </row>
    <row r="1591" spans="14:14" x14ac:dyDescent="0.25">
      <c r="N1591" s="70"/>
    </row>
    <row r="1592" spans="14:14" x14ac:dyDescent="0.25">
      <c r="N1592" s="70"/>
    </row>
    <row r="1593" spans="14:14" x14ac:dyDescent="0.25">
      <c r="N1593" s="70"/>
    </row>
    <row r="1594" spans="14:14" x14ac:dyDescent="0.25">
      <c r="N1594" s="70"/>
    </row>
    <row r="1595" spans="14:14" x14ac:dyDescent="0.25">
      <c r="N1595" s="70"/>
    </row>
    <row r="1596" spans="14:14" x14ac:dyDescent="0.25">
      <c r="N1596" s="70"/>
    </row>
    <row r="1597" spans="14:14" x14ac:dyDescent="0.25">
      <c r="N1597" s="70"/>
    </row>
    <row r="1598" spans="14:14" x14ac:dyDescent="0.25">
      <c r="N1598" s="70"/>
    </row>
    <row r="1599" spans="14:14" x14ac:dyDescent="0.25">
      <c r="N1599" s="70"/>
    </row>
    <row r="1600" spans="14:14" x14ac:dyDescent="0.25">
      <c r="N1600" s="70"/>
    </row>
    <row r="1601" spans="14:14" x14ac:dyDescent="0.25">
      <c r="N1601" s="70"/>
    </row>
    <row r="1602" spans="14:14" x14ac:dyDescent="0.25">
      <c r="N1602" s="70"/>
    </row>
    <row r="1603" spans="14:14" x14ac:dyDescent="0.25">
      <c r="N1603" s="70"/>
    </row>
    <row r="1604" spans="14:14" x14ac:dyDescent="0.25">
      <c r="N1604" s="70"/>
    </row>
    <row r="1605" spans="14:14" x14ac:dyDescent="0.25">
      <c r="N1605" s="70"/>
    </row>
    <row r="1606" spans="14:14" x14ac:dyDescent="0.25">
      <c r="N1606" s="70"/>
    </row>
    <row r="1607" spans="14:14" x14ac:dyDescent="0.25">
      <c r="N1607" s="70"/>
    </row>
    <row r="1608" spans="14:14" x14ac:dyDescent="0.25">
      <c r="N1608" s="70"/>
    </row>
    <row r="1609" spans="14:14" x14ac:dyDescent="0.25">
      <c r="N1609" s="70"/>
    </row>
    <row r="1610" spans="14:14" x14ac:dyDescent="0.25">
      <c r="N1610" s="70"/>
    </row>
    <row r="1611" spans="14:14" x14ac:dyDescent="0.25">
      <c r="N1611" s="70"/>
    </row>
    <row r="1612" spans="14:14" x14ac:dyDescent="0.25">
      <c r="N1612" s="70"/>
    </row>
    <row r="1613" spans="14:14" x14ac:dyDescent="0.25">
      <c r="N1613" s="70"/>
    </row>
    <row r="1614" spans="14:14" x14ac:dyDescent="0.25">
      <c r="N1614" s="70"/>
    </row>
    <row r="1615" spans="14:14" x14ac:dyDescent="0.25">
      <c r="N1615" s="70"/>
    </row>
    <row r="1616" spans="14:14" x14ac:dyDescent="0.25">
      <c r="N1616" s="70"/>
    </row>
    <row r="1617" spans="14:14" x14ac:dyDescent="0.25">
      <c r="N1617" s="70"/>
    </row>
    <row r="1618" spans="14:14" x14ac:dyDescent="0.25">
      <c r="N1618" s="70"/>
    </row>
    <row r="1619" spans="14:14" x14ac:dyDescent="0.25">
      <c r="N1619" s="70"/>
    </row>
    <row r="1620" spans="14:14" x14ac:dyDescent="0.25">
      <c r="N1620" s="70"/>
    </row>
    <row r="1621" spans="14:14" x14ac:dyDescent="0.25">
      <c r="N1621" s="70"/>
    </row>
    <row r="1622" spans="14:14" x14ac:dyDescent="0.25">
      <c r="N1622" s="70"/>
    </row>
    <row r="1623" spans="14:14" x14ac:dyDescent="0.25">
      <c r="N1623" s="70"/>
    </row>
    <row r="1624" spans="14:14" x14ac:dyDescent="0.25">
      <c r="N1624" s="70"/>
    </row>
    <row r="1625" spans="14:14" x14ac:dyDescent="0.25">
      <c r="N1625" s="70"/>
    </row>
    <row r="1626" spans="14:14" x14ac:dyDescent="0.25">
      <c r="N1626" s="70"/>
    </row>
    <row r="1627" spans="14:14" x14ac:dyDescent="0.25">
      <c r="N1627" s="70"/>
    </row>
    <row r="1628" spans="14:14" x14ac:dyDescent="0.25">
      <c r="N1628" s="70"/>
    </row>
    <row r="1629" spans="14:14" x14ac:dyDescent="0.25">
      <c r="N1629" s="70"/>
    </row>
    <row r="1630" spans="14:14" x14ac:dyDescent="0.25">
      <c r="N1630" s="70"/>
    </row>
    <row r="1631" spans="14:14" x14ac:dyDescent="0.25">
      <c r="N1631" s="70"/>
    </row>
    <row r="1632" spans="14:14" x14ac:dyDescent="0.25">
      <c r="N1632" s="70"/>
    </row>
    <row r="1633" spans="14:14" x14ac:dyDescent="0.25">
      <c r="N1633" s="70"/>
    </row>
    <row r="1634" spans="14:14" x14ac:dyDescent="0.25">
      <c r="N1634" s="70"/>
    </row>
    <row r="1635" spans="14:14" x14ac:dyDescent="0.25">
      <c r="N1635" s="70"/>
    </row>
    <row r="1636" spans="14:14" x14ac:dyDescent="0.25">
      <c r="N1636" s="70"/>
    </row>
    <row r="1637" spans="14:14" x14ac:dyDescent="0.25">
      <c r="N1637" s="70"/>
    </row>
    <row r="1638" spans="14:14" x14ac:dyDescent="0.25">
      <c r="N1638" s="70"/>
    </row>
    <row r="1639" spans="14:14" x14ac:dyDescent="0.25">
      <c r="N1639" s="70"/>
    </row>
    <row r="1640" spans="14:14" x14ac:dyDescent="0.25">
      <c r="N1640" s="70"/>
    </row>
    <row r="1641" spans="14:14" x14ac:dyDescent="0.25">
      <c r="N1641" s="70"/>
    </row>
    <row r="1642" spans="14:14" x14ac:dyDescent="0.25">
      <c r="N1642" s="70"/>
    </row>
    <row r="1643" spans="14:14" x14ac:dyDescent="0.25">
      <c r="N1643" s="70"/>
    </row>
    <row r="1644" spans="14:14" x14ac:dyDescent="0.25">
      <c r="N1644" s="70"/>
    </row>
    <row r="1645" spans="14:14" x14ac:dyDescent="0.25">
      <c r="N1645" s="70"/>
    </row>
    <row r="1646" spans="14:14" x14ac:dyDescent="0.25">
      <c r="N1646" s="70"/>
    </row>
    <row r="1647" spans="14:14" x14ac:dyDescent="0.25">
      <c r="N1647" s="70"/>
    </row>
    <row r="1648" spans="14:14" x14ac:dyDescent="0.25">
      <c r="N1648" s="70"/>
    </row>
    <row r="1649" spans="14:14" x14ac:dyDescent="0.25">
      <c r="N1649" s="70"/>
    </row>
    <row r="1650" spans="14:14" x14ac:dyDescent="0.25">
      <c r="N1650" s="70"/>
    </row>
    <row r="1651" spans="14:14" x14ac:dyDescent="0.25">
      <c r="N1651" s="70"/>
    </row>
    <row r="1652" spans="14:14" x14ac:dyDescent="0.25">
      <c r="N1652" s="70"/>
    </row>
    <row r="1653" spans="14:14" x14ac:dyDescent="0.25">
      <c r="N1653" s="70"/>
    </row>
    <row r="1654" spans="14:14" x14ac:dyDescent="0.25">
      <c r="N1654" s="70"/>
    </row>
    <row r="1655" spans="14:14" x14ac:dyDescent="0.25">
      <c r="N1655" s="70"/>
    </row>
    <row r="1656" spans="14:14" x14ac:dyDescent="0.25">
      <c r="N1656" s="70"/>
    </row>
    <row r="1657" spans="14:14" x14ac:dyDescent="0.25">
      <c r="N1657" s="70"/>
    </row>
    <row r="1658" spans="14:14" x14ac:dyDescent="0.25">
      <c r="N1658" s="70"/>
    </row>
    <row r="1659" spans="14:14" x14ac:dyDescent="0.25">
      <c r="N1659" s="70"/>
    </row>
    <row r="1660" spans="14:14" x14ac:dyDescent="0.25">
      <c r="N1660" s="70"/>
    </row>
    <row r="1661" spans="14:14" x14ac:dyDescent="0.25">
      <c r="N1661" s="70"/>
    </row>
    <row r="1662" spans="14:14" x14ac:dyDescent="0.25">
      <c r="N1662" s="70"/>
    </row>
    <row r="1663" spans="14:14" x14ac:dyDescent="0.25">
      <c r="N1663" s="70"/>
    </row>
    <row r="1664" spans="14:14" x14ac:dyDescent="0.25">
      <c r="N1664" s="70"/>
    </row>
    <row r="1665" spans="14:14" x14ac:dyDescent="0.25">
      <c r="N1665" s="70"/>
    </row>
    <row r="1666" spans="14:14" x14ac:dyDescent="0.25">
      <c r="N1666" s="70"/>
    </row>
    <row r="1667" spans="14:14" x14ac:dyDescent="0.25">
      <c r="N1667" s="70"/>
    </row>
    <row r="1668" spans="14:14" x14ac:dyDescent="0.25">
      <c r="N1668" s="70"/>
    </row>
    <row r="1669" spans="14:14" x14ac:dyDescent="0.25">
      <c r="N1669" s="70"/>
    </row>
    <row r="1670" spans="14:14" x14ac:dyDescent="0.25">
      <c r="N1670" s="70"/>
    </row>
    <row r="1671" spans="14:14" x14ac:dyDescent="0.25">
      <c r="N1671" s="70"/>
    </row>
    <row r="1672" spans="14:14" x14ac:dyDescent="0.25">
      <c r="N1672" s="70"/>
    </row>
    <row r="1673" spans="14:14" x14ac:dyDescent="0.25">
      <c r="N1673" s="70"/>
    </row>
    <row r="1674" spans="14:14" x14ac:dyDescent="0.25">
      <c r="N1674" s="70"/>
    </row>
    <row r="1675" spans="14:14" x14ac:dyDescent="0.25">
      <c r="N1675" s="70"/>
    </row>
    <row r="1676" spans="14:14" x14ac:dyDescent="0.25">
      <c r="N1676" s="70"/>
    </row>
    <row r="1677" spans="14:14" x14ac:dyDescent="0.25">
      <c r="N1677" s="70"/>
    </row>
    <row r="1678" spans="14:14" x14ac:dyDescent="0.25">
      <c r="N1678" s="70"/>
    </row>
    <row r="1679" spans="14:14" x14ac:dyDescent="0.25">
      <c r="N1679" s="70"/>
    </row>
    <row r="1680" spans="14:14" x14ac:dyDescent="0.25">
      <c r="N1680" s="70"/>
    </row>
    <row r="1681" spans="14:14" x14ac:dyDescent="0.25">
      <c r="N1681" s="70"/>
    </row>
    <row r="1682" spans="14:14" x14ac:dyDescent="0.25">
      <c r="N1682" s="70"/>
    </row>
    <row r="1683" spans="14:14" x14ac:dyDescent="0.25">
      <c r="N1683" s="70"/>
    </row>
    <row r="1684" spans="14:14" x14ac:dyDescent="0.25">
      <c r="N1684" s="70"/>
    </row>
    <row r="1685" spans="14:14" x14ac:dyDescent="0.25">
      <c r="N1685" s="70"/>
    </row>
    <row r="1686" spans="14:14" x14ac:dyDescent="0.25">
      <c r="N1686" s="70"/>
    </row>
    <row r="1687" spans="14:14" x14ac:dyDescent="0.25">
      <c r="N1687" s="70"/>
    </row>
    <row r="1688" spans="14:14" x14ac:dyDescent="0.25">
      <c r="N1688" s="70"/>
    </row>
    <row r="1689" spans="14:14" x14ac:dyDescent="0.25">
      <c r="N1689" s="70"/>
    </row>
    <row r="1690" spans="14:14" x14ac:dyDescent="0.25">
      <c r="N1690" s="70"/>
    </row>
    <row r="1691" spans="14:14" x14ac:dyDescent="0.25">
      <c r="N1691" s="70"/>
    </row>
    <row r="1692" spans="14:14" x14ac:dyDescent="0.25">
      <c r="N1692" s="70"/>
    </row>
    <row r="1693" spans="14:14" x14ac:dyDescent="0.25">
      <c r="N1693" s="70"/>
    </row>
    <row r="1694" spans="14:14" x14ac:dyDescent="0.25">
      <c r="N1694" s="70"/>
    </row>
    <row r="1695" spans="14:14" x14ac:dyDescent="0.25">
      <c r="N1695" s="70"/>
    </row>
    <row r="1696" spans="14:14" x14ac:dyDescent="0.25">
      <c r="N1696" s="70"/>
    </row>
    <row r="1697" spans="14:14" x14ac:dyDescent="0.25">
      <c r="N1697" s="70"/>
    </row>
    <row r="1698" spans="14:14" x14ac:dyDescent="0.25">
      <c r="N1698" s="70"/>
    </row>
    <row r="1699" spans="14:14" x14ac:dyDescent="0.25">
      <c r="N1699" s="70"/>
    </row>
    <row r="1700" spans="14:14" x14ac:dyDescent="0.25">
      <c r="N1700" s="70"/>
    </row>
    <row r="1701" spans="14:14" x14ac:dyDescent="0.25">
      <c r="N1701" s="70"/>
    </row>
    <row r="1702" spans="14:14" x14ac:dyDescent="0.25">
      <c r="N1702" s="70"/>
    </row>
    <row r="1703" spans="14:14" x14ac:dyDescent="0.25">
      <c r="N1703" s="70"/>
    </row>
    <row r="1704" spans="14:14" x14ac:dyDescent="0.25">
      <c r="N1704" s="70"/>
    </row>
    <row r="1705" spans="14:14" x14ac:dyDescent="0.25">
      <c r="N1705" s="70"/>
    </row>
    <row r="1706" spans="14:14" x14ac:dyDescent="0.25">
      <c r="N1706" s="70"/>
    </row>
    <row r="1707" spans="14:14" x14ac:dyDescent="0.25">
      <c r="N1707" s="70"/>
    </row>
    <row r="1708" spans="14:14" x14ac:dyDescent="0.25">
      <c r="N1708" s="70"/>
    </row>
    <row r="1709" spans="14:14" x14ac:dyDescent="0.25">
      <c r="N1709" s="70"/>
    </row>
    <row r="1710" spans="14:14" x14ac:dyDescent="0.25">
      <c r="N1710" s="70"/>
    </row>
    <row r="1711" spans="14:14" x14ac:dyDescent="0.25">
      <c r="N1711" s="70"/>
    </row>
    <row r="1712" spans="14:14" x14ac:dyDescent="0.25">
      <c r="N1712" s="70"/>
    </row>
    <row r="1713" spans="14:14" x14ac:dyDescent="0.25">
      <c r="N1713" s="70"/>
    </row>
    <row r="1714" spans="14:14" x14ac:dyDescent="0.25">
      <c r="N1714" s="70"/>
    </row>
    <row r="1715" spans="14:14" x14ac:dyDescent="0.25">
      <c r="N1715" s="70"/>
    </row>
    <row r="1716" spans="14:14" x14ac:dyDescent="0.25">
      <c r="N1716" s="70"/>
    </row>
    <row r="1717" spans="14:14" x14ac:dyDescent="0.25">
      <c r="N1717" s="70"/>
    </row>
    <row r="1718" spans="14:14" x14ac:dyDescent="0.25">
      <c r="N1718" s="70"/>
    </row>
    <row r="1719" spans="14:14" x14ac:dyDescent="0.25">
      <c r="N1719" s="70"/>
    </row>
    <row r="1720" spans="14:14" x14ac:dyDescent="0.25">
      <c r="N1720" s="70"/>
    </row>
    <row r="1721" spans="14:14" x14ac:dyDescent="0.25">
      <c r="N1721" s="70"/>
    </row>
    <row r="1722" spans="14:14" x14ac:dyDescent="0.25">
      <c r="N1722" s="70"/>
    </row>
    <row r="1723" spans="14:14" x14ac:dyDescent="0.25">
      <c r="N1723" s="70"/>
    </row>
    <row r="1724" spans="14:14" x14ac:dyDescent="0.25">
      <c r="N1724" s="70"/>
    </row>
    <row r="1725" spans="14:14" x14ac:dyDescent="0.25">
      <c r="N1725" s="70"/>
    </row>
    <row r="1726" spans="14:14" x14ac:dyDescent="0.25">
      <c r="N1726" s="70"/>
    </row>
    <row r="1727" spans="14:14" x14ac:dyDescent="0.25">
      <c r="N1727" s="70"/>
    </row>
    <row r="1728" spans="14:14" x14ac:dyDescent="0.25">
      <c r="N1728" s="70"/>
    </row>
    <row r="1729" spans="14:14" x14ac:dyDescent="0.25">
      <c r="N1729" s="70"/>
    </row>
    <row r="1730" spans="14:14" x14ac:dyDescent="0.25">
      <c r="N1730" s="70"/>
    </row>
    <row r="1731" spans="14:14" x14ac:dyDescent="0.25">
      <c r="N1731" s="70"/>
    </row>
    <row r="1732" spans="14:14" x14ac:dyDescent="0.25">
      <c r="N1732" s="70"/>
    </row>
    <row r="1733" spans="14:14" x14ac:dyDescent="0.25">
      <c r="N1733" s="70"/>
    </row>
    <row r="1734" spans="14:14" x14ac:dyDescent="0.25">
      <c r="N1734" s="70"/>
    </row>
    <row r="1735" spans="14:14" x14ac:dyDescent="0.25">
      <c r="N1735" s="70"/>
    </row>
    <row r="1736" spans="14:14" x14ac:dyDescent="0.25">
      <c r="N1736" s="70"/>
    </row>
    <row r="1737" spans="14:14" x14ac:dyDescent="0.25">
      <c r="N1737" s="70"/>
    </row>
    <row r="1738" spans="14:14" x14ac:dyDescent="0.25">
      <c r="N1738" s="70"/>
    </row>
    <row r="1739" spans="14:14" x14ac:dyDescent="0.25">
      <c r="N1739" s="70"/>
    </row>
    <row r="1740" spans="14:14" x14ac:dyDescent="0.25">
      <c r="N1740" s="70"/>
    </row>
    <row r="1741" spans="14:14" x14ac:dyDescent="0.25">
      <c r="N1741" s="70"/>
    </row>
    <row r="1742" spans="14:14" x14ac:dyDescent="0.25">
      <c r="N1742" s="70"/>
    </row>
    <row r="1743" spans="14:14" x14ac:dyDescent="0.25">
      <c r="N1743" s="70"/>
    </row>
    <row r="1744" spans="14:14" x14ac:dyDescent="0.25">
      <c r="N1744" s="70"/>
    </row>
    <row r="1745" spans="14:14" x14ac:dyDescent="0.25">
      <c r="N1745" s="70"/>
    </row>
    <row r="1746" spans="14:14" x14ac:dyDescent="0.25">
      <c r="N1746" s="70"/>
    </row>
    <row r="1747" spans="14:14" x14ac:dyDescent="0.25">
      <c r="N1747" s="70"/>
    </row>
    <row r="1748" spans="14:14" x14ac:dyDescent="0.25">
      <c r="N1748" s="70"/>
    </row>
    <row r="1749" spans="14:14" x14ac:dyDescent="0.25">
      <c r="N1749" s="70"/>
    </row>
    <row r="1750" spans="14:14" x14ac:dyDescent="0.25">
      <c r="N1750" s="70"/>
    </row>
    <row r="1751" spans="14:14" x14ac:dyDescent="0.25">
      <c r="N1751" s="70"/>
    </row>
    <row r="1752" spans="14:14" x14ac:dyDescent="0.25">
      <c r="N1752" s="70"/>
    </row>
    <row r="1753" spans="14:14" x14ac:dyDescent="0.25">
      <c r="N1753" s="70"/>
    </row>
    <row r="1754" spans="14:14" x14ac:dyDescent="0.25">
      <c r="N1754" s="70"/>
    </row>
    <row r="1755" spans="14:14" x14ac:dyDescent="0.25">
      <c r="N1755" s="70"/>
    </row>
    <row r="1756" spans="14:14" x14ac:dyDescent="0.25">
      <c r="N1756" s="70"/>
    </row>
    <row r="1757" spans="14:14" x14ac:dyDescent="0.25">
      <c r="N1757" s="70"/>
    </row>
    <row r="1758" spans="14:14" x14ac:dyDescent="0.25">
      <c r="N1758" s="70"/>
    </row>
    <row r="1759" spans="14:14" x14ac:dyDescent="0.25">
      <c r="N1759" s="70"/>
    </row>
    <row r="1760" spans="14:14" x14ac:dyDescent="0.25">
      <c r="N1760" s="70"/>
    </row>
    <row r="1761" spans="14:14" x14ac:dyDescent="0.25">
      <c r="N1761" s="70"/>
    </row>
    <row r="1762" spans="14:14" x14ac:dyDescent="0.25">
      <c r="N1762" s="70"/>
    </row>
    <row r="1763" spans="14:14" x14ac:dyDescent="0.25">
      <c r="N1763" s="70"/>
    </row>
    <row r="1764" spans="14:14" x14ac:dyDescent="0.25">
      <c r="N1764" s="70"/>
    </row>
    <row r="1765" spans="14:14" x14ac:dyDescent="0.25">
      <c r="N1765" s="70"/>
    </row>
    <row r="1766" spans="14:14" x14ac:dyDescent="0.25">
      <c r="N1766" s="70"/>
    </row>
    <row r="1767" spans="14:14" x14ac:dyDescent="0.25">
      <c r="N1767" s="70"/>
    </row>
    <row r="1768" spans="14:14" x14ac:dyDescent="0.25">
      <c r="N1768" s="70"/>
    </row>
    <row r="1769" spans="14:14" x14ac:dyDescent="0.25">
      <c r="N1769" s="70"/>
    </row>
    <row r="1770" spans="14:14" x14ac:dyDescent="0.25">
      <c r="N1770" s="70"/>
    </row>
    <row r="1771" spans="14:14" x14ac:dyDescent="0.25">
      <c r="N1771" s="70"/>
    </row>
    <row r="1772" spans="14:14" x14ac:dyDescent="0.25">
      <c r="N1772" s="70"/>
    </row>
    <row r="1773" spans="14:14" x14ac:dyDescent="0.25">
      <c r="N1773" s="70"/>
    </row>
    <row r="1774" spans="14:14" x14ac:dyDescent="0.25">
      <c r="N1774" s="70"/>
    </row>
    <row r="1775" spans="14:14" x14ac:dyDescent="0.25">
      <c r="N1775" s="70"/>
    </row>
    <row r="1776" spans="14:14" x14ac:dyDescent="0.25">
      <c r="N1776" s="70"/>
    </row>
    <row r="1777" spans="14:14" x14ac:dyDescent="0.25">
      <c r="N1777" s="70"/>
    </row>
    <row r="1778" spans="14:14" x14ac:dyDescent="0.25">
      <c r="N1778" s="70"/>
    </row>
    <row r="1779" spans="14:14" x14ac:dyDescent="0.25">
      <c r="N1779" s="70"/>
    </row>
    <row r="1780" spans="14:14" x14ac:dyDescent="0.25">
      <c r="N1780" s="70"/>
    </row>
    <row r="1781" spans="14:14" x14ac:dyDescent="0.25">
      <c r="N1781" s="70"/>
    </row>
    <row r="1782" spans="14:14" x14ac:dyDescent="0.25">
      <c r="N1782" s="70"/>
    </row>
    <row r="1783" spans="14:14" x14ac:dyDescent="0.25">
      <c r="N1783" s="70"/>
    </row>
    <row r="1784" spans="14:14" x14ac:dyDescent="0.25">
      <c r="N1784" s="70"/>
    </row>
    <row r="1785" spans="14:14" x14ac:dyDescent="0.25">
      <c r="N1785" s="70"/>
    </row>
    <row r="1786" spans="14:14" x14ac:dyDescent="0.25">
      <c r="N1786" s="70"/>
    </row>
    <row r="1787" spans="14:14" x14ac:dyDescent="0.25">
      <c r="N1787" s="70"/>
    </row>
    <row r="1788" spans="14:14" x14ac:dyDescent="0.25">
      <c r="N1788" s="70"/>
    </row>
    <row r="1789" spans="14:14" x14ac:dyDescent="0.25">
      <c r="N1789" s="70"/>
    </row>
    <row r="1790" spans="14:14" x14ac:dyDescent="0.25">
      <c r="N1790" s="70"/>
    </row>
    <row r="1791" spans="14:14" x14ac:dyDescent="0.25">
      <c r="N1791" s="70"/>
    </row>
    <row r="1792" spans="14:14" x14ac:dyDescent="0.25">
      <c r="N1792" s="70"/>
    </row>
    <row r="1793" spans="14:14" x14ac:dyDescent="0.25">
      <c r="N1793" s="70"/>
    </row>
    <row r="1794" spans="14:14" x14ac:dyDescent="0.25">
      <c r="N1794" s="70"/>
    </row>
    <row r="1795" spans="14:14" x14ac:dyDescent="0.25">
      <c r="N1795" s="70"/>
    </row>
    <row r="1796" spans="14:14" x14ac:dyDescent="0.25">
      <c r="N1796" s="70"/>
    </row>
    <row r="1797" spans="14:14" x14ac:dyDescent="0.25">
      <c r="N1797" s="70"/>
    </row>
    <row r="1798" spans="14:14" x14ac:dyDescent="0.25">
      <c r="N1798" s="70"/>
    </row>
    <row r="1799" spans="14:14" x14ac:dyDescent="0.25">
      <c r="N1799" s="70"/>
    </row>
    <row r="1800" spans="14:14" x14ac:dyDescent="0.25">
      <c r="N1800" s="70"/>
    </row>
    <row r="1801" spans="14:14" x14ac:dyDescent="0.25">
      <c r="N1801" s="70"/>
    </row>
    <row r="1802" spans="14:14" x14ac:dyDescent="0.25">
      <c r="N1802" s="70"/>
    </row>
    <row r="1803" spans="14:14" x14ac:dyDescent="0.25">
      <c r="N1803" s="70"/>
    </row>
    <row r="1804" spans="14:14" x14ac:dyDescent="0.25">
      <c r="N1804" s="70"/>
    </row>
    <row r="1805" spans="14:14" x14ac:dyDescent="0.25">
      <c r="N1805" s="70"/>
    </row>
    <row r="1806" spans="14:14" x14ac:dyDescent="0.25">
      <c r="N1806" s="70"/>
    </row>
    <row r="1807" spans="14:14" x14ac:dyDescent="0.25">
      <c r="N1807" s="70"/>
    </row>
    <row r="1808" spans="14:14" x14ac:dyDescent="0.25">
      <c r="N1808" s="70"/>
    </row>
    <row r="1809" spans="14:14" x14ac:dyDescent="0.25">
      <c r="N1809" s="70"/>
    </row>
    <row r="1810" spans="14:14" x14ac:dyDescent="0.25">
      <c r="N1810" s="70"/>
    </row>
    <row r="1811" spans="14:14" x14ac:dyDescent="0.25">
      <c r="N1811" s="70"/>
    </row>
    <row r="1812" spans="14:14" x14ac:dyDescent="0.25">
      <c r="N1812" s="70"/>
    </row>
    <row r="1813" spans="14:14" x14ac:dyDescent="0.25">
      <c r="N1813" s="70"/>
    </row>
    <row r="1814" spans="14:14" x14ac:dyDescent="0.25">
      <c r="N1814" s="70"/>
    </row>
    <row r="1815" spans="14:14" x14ac:dyDescent="0.25">
      <c r="N1815" s="70"/>
    </row>
    <row r="1816" spans="14:14" x14ac:dyDescent="0.25">
      <c r="N1816" s="70"/>
    </row>
    <row r="1817" spans="14:14" x14ac:dyDescent="0.25">
      <c r="N1817" s="70"/>
    </row>
    <row r="1818" spans="14:14" x14ac:dyDescent="0.25">
      <c r="N1818" s="70"/>
    </row>
    <row r="1819" spans="14:14" x14ac:dyDescent="0.25">
      <c r="N1819" s="70"/>
    </row>
    <row r="1820" spans="14:14" x14ac:dyDescent="0.25">
      <c r="N1820" s="70"/>
    </row>
    <row r="1821" spans="14:14" x14ac:dyDescent="0.25">
      <c r="N1821" s="70"/>
    </row>
    <row r="1822" spans="14:14" x14ac:dyDescent="0.25">
      <c r="N1822" s="70"/>
    </row>
    <row r="1823" spans="14:14" x14ac:dyDescent="0.25">
      <c r="N1823" s="70"/>
    </row>
    <row r="1824" spans="14:14" x14ac:dyDescent="0.25">
      <c r="N1824" s="70"/>
    </row>
    <row r="1825" spans="14:14" x14ac:dyDescent="0.25">
      <c r="N1825" s="70"/>
    </row>
    <row r="1826" spans="14:14" x14ac:dyDescent="0.25">
      <c r="N1826" s="70"/>
    </row>
    <row r="1827" spans="14:14" x14ac:dyDescent="0.25">
      <c r="N1827" s="70"/>
    </row>
    <row r="1828" spans="14:14" x14ac:dyDescent="0.25">
      <c r="N1828" s="70"/>
    </row>
    <row r="1829" spans="14:14" x14ac:dyDescent="0.25">
      <c r="N1829" s="70"/>
    </row>
    <row r="1830" spans="14:14" x14ac:dyDescent="0.25">
      <c r="N1830" s="70"/>
    </row>
    <row r="1831" spans="14:14" x14ac:dyDescent="0.25">
      <c r="N1831" s="70"/>
    </row>
    <row r="1832" spans="14:14" x14ac:dyDescent="0.25">
      <c r="N1832" s="70"/>
    </row>
    <row r="1833" spans="14:14" x14ac:dyDescent="0.25">
      <c r="N1833" s="70"/>
    </row>
    <row r="1834" spans="14:14" x14ac:dyDescent="0.25">
      <c r="N1834" s="70"/>
    </row>
    <row r="1835" spans="14:14" x14ac:dyDescent="0.25">
      <c r="N1835" s="70"/>
    </row>
    <row r="1836" spans="14:14" x14ac:dyDescent="0.25">
      <c r="N1836" s="70"/>
    </row>
    <row r="1837" spans="14:14" x14ac:dyDescent="0.25">
      <c r="N1837" s="70"/>
    </row>
    <row r="1838" spans="14:14" x14ac:dyDescent="0.25">
      <c r="N1838" s="70"/>
    </row>
    <row r="1839" spans="14:14" x14ac:dyDescent="0.25">
      <c r="N1839" s="70"/>
    </row>
    <row r="1840" spans="14:14" x14ac:dyDescent="0.25">
      <c r="N1840" s="70"/>
    </row>
    <row r="1841" spans="14:14" x14ac:dyDescent="0.25">
      <c r="N1841" s="70"/>
    </row>
    <row r="1842" spans="14:14" x14ac:dyDescent="0.25">
      <c r="N1842" s="70"/>
    </row>
    <row r="1843" spans="14:14" x14ac:dyDescent="0.25">
      <c r="N1843" s="70"/>
    </row>
    <row r="1844" spans="14:14" x14ac:dyDescent="0.25">
      <c r="N1844" s="70"/>
    </row>
    <row r="1845" spans="14:14" x14ac:dyDescent="0.25">
      <c r="N1845" s="70"/>
    </row>
    <row r="1846" spans="14:14" x14ac:dyDescent="0.25">
      <c r="N1846" s="70"/>
    </row>
    <row r="1847" spans="14:14" x14ac:dyDescent="0.25">
      <c r="N1847" s="70"/>
    </row>
    <row r="1848" spans="14:14" x14ac:dyDescent="0.25">
      <c r="N1848" s="70"/>
    </row>
    <row r="1849" spans="14:14" x14ac:dyDescent="0.25">
      <c r="N1849" s="70"/>
    </row>
    <row r="1850" spans="14:14" x14ac:dyDescent="0.25">
      <c r="N1850" s="70"/>
    </row>
    <row r="1851" spans="14:14" x14ac:dyDescent="0.25">
      <c r="N1851" s="70"/>
    </row>
    <row r="1852" spans="14:14" x14ac:dyDescent="0.25">
      <c r="N1852" s="70"/>
    </row>
    <row r="1853" spans="14:14" x14ac:dyDescent="0.25">
      <c r="N1853" s="70"/>
    </row>
    <row r="1854" spans="14:14" x14ac:dyDescent="0.25">
      <c r="N1854" s="70"/>
    </row>
    <row r="1855" spans="14:14" x14ac:dyDescent="0.25">
      <c r="N1855" s="70"/>
    </row>
    <row r="1856" spans="14:14" x14ac:dyDescent="0.25">
      <c r="N1856" s="70"/>
    </row>
    <row r="1857" spans="14:14" x14ac:dyDescent="0.25">
      <c r="N1857" s="70"/>
    </row>
    <row r="1858" spans="14:14" x14ac:dyDescent="0.25">
      <c r="N1858" s="70"/>
    </row>
    <row r="1859" spans="14:14" x14ac:dyDescent="0.25">
      <c r="N1859" s="70"/>
    </row>
    <row r="1860" spans="14:14" x14ac:dyDescent="0.25">
      <c r="N1860" s="70"/>
    </row>
    <row r="1861" spans="14:14" x14ac:dyDescent="0.25">
      <c r="N1861" s="70"/>
    </row>
    <row r="1862" spans="14:14" x14ac:dyDescent="0.25">
      <c r="N1862" s="70"/>
    </row>
    <row r="1863" spans="14:14" x14ac:dyDescent="0.25">
      <c r="N1863" s="70"/>
    </row>
    <row r="1864" spans="14:14" x14ac:dyDescent="0.25">
      <c r="N1864" s="70"/>
    </row>
    <row r="1865" spans="14:14" x14ac:dyDescent="0.25">
      <c r="N1865" s="70"/>
    </row>
    <row r="1866" spans="14:14" x14ac:dyDescent="0.25">
      <c r="N1866" s="70"/>
    </row>
    <row r="1867" spans="14:14" x14ac:dyDescent="0.25">
      <c r="N1867" s="70"/>
    </row>
    <row r="1868" spans="14:14" x14ac:dyDescent="0.25">
      <c r="N1868" s="70"/>
    </row>
    <row r="1869" spans="14:14" x14ac:dyDescent="0.25">
      <c r="N1869" s="70"/>
    </row>
    <row r="1870" spans="14:14" x14ac:dyDescent="0.25">
      <c r="N1870" s="70"/>
    </row>
    <row r="1871" spans="14:14" x14ac:dyDescent="0.25">
      <c r="N1871" s="70"/>
    </row>
    <row r="1872" spans="14:14" x14ac:dyDescent="0.25">
      <c r="N1872" s="70"/>
    </row>
    <row r="1873" spans="14:14" x14ac:dyDescent="0.25">
      <c r="N1873" s="70"/>
    </row>
    <row r="1874" spans="14:14" x14ac:dyDescent="0.25">
      <c r="N1874" s="70"/>
    </row>
    <row r="1875" spans="14:14" x14ac:dyDescent="0.25">
      <c r="N1875" s="70"/>
    </row>
    <row r="1876" spans="14:14" x14ac:dyDescent="0.25">
      <c r="N1876" s="70"/>
    </row>
    <row r="1877" spans="14:14" x14ac:dyDescent="0.25">
      <c r="N1877" s="70"/>
    </row>
    <row r="1878" spans="14:14" x14ac:dyDescent="0.25">
      <c r="N1878" s="70"/>
    </row>
    <row r="1879" spans="14:14" x14ac:dyDescent="0.25">
      <c r="N1879" s="70"/>
    </row>
    <row r="1880" spans="14:14" x14ac:dyDescent="0.25">
      <c r="N1880" s="70"/>
    </row>
    <row r="1881" spans="14:14" x14ac:dyDescent="0.25">
      <c r="N1881" s="70"/>
    </row>
    <row r="1882" spans="14:14" x14ac:dyDescent="0.25">
      <c r="N1882" s="70"/>
    </row>
    <row r="1883" spans="14:14" x14ac:dyDescent="0.25">
      <c r="N1883" s="70"/>
    </row>
    <row r="1884" spans="14:14" x14ac:dyDescent="0.25">
      <c r="N1884" s="70"/>
    </row>
    <row r="1885" spans="14:14" x14ac:dyDescent="0.25">
      <c r="N1885" s="70"/>
    </row>
    <row r="1886" spans="14:14" x14ac:dyDescent="0.25">
      <c r="N1886" s="70"/>
    </row>
    <row r="1887" spans="14:14" x14ac:dyDescent="0.25">
      <c r="N1887" s="70"/>
    </row>
    <row r="1888" spans="14:14" x14ac:dyDescent="0.25">
      <c r="N1888" s="70"/>
    </row>
    <row r="1889" spans="14:14" x14ac:dyDescent="0.25">
      <c r="N1889" s="70"/>
    </row>
    <row r="1890" spans="14:14" x14ac:dyDescent="0.25">
      <c r="N1890" s="70"/>
    </row>
    <row r="1891" spans="14:14" x14ac:dyDescent="0.25">
      <c r="N1891" s="70"/>
    </row>
    <row r="1892" spans="14:14" x14ac:dyDescent="0.25">
      <c r="N1892" s="70"/>
    </row>
    <row r="1893" spans="14:14" x14ac:dyDescent="0.25">
      <c r="N1893" s="70"/>
    </row>
    <row r="1894" spans="14:14" x14ac:dyDescent="0.25">
      <c r="N1894" s="70"/>
    </row>
    <row r="1895" spans="14:14" x14ac:dyDescent="0.25">
      <c r="N1895" s="70"/>
    </row>
    <row r="1896" spans="14:14" x14ac:dyDescent="0.25">
      <c r="N1896" s="70"/>
    </row>
    <row r="1897" spans="14:14" x14ac:dyDescent="0.25">
      <c r="N1897" s="70"/>
    </row>
    <row r="1898" spans="14:14" x14ac:dyDescent="0.25">
      <c r="N1898" s="70"/>
    </row>
    <row r="1899" spans="14:14" x14ac:dyDescent="0.25">
      <c r="N1899" s="70"/>
    </row>
    <row r="1900" spans="14:14" x14ac:dyDescent="0.25">
      <c r="N1900" s="70"/>
    </row>
    <row r="1901" spans="14:14" x14ac:dyDescent="0.25">
      <c r="N1901" s="70"/>
    </row>
    <row r="1902" spans="14:14" x14ac:dyDescent="0.25">
      <c r="N1902" s="70"/>
    </row>
    <row r="1903" spans="14:14" x14ac:dyDescent="0.25">
      <c r="N1903" s="70"/>
    </row>
    <row r="1904" spans="14:14" x14ac:dyDescent="0.25">
      <c r="N1904" s="70"/>
    </row>
    <row r="1905" spans="14:14" x14ac:dyDescent="0.25">
      <c r="N1905" s="70"/>
    </row>
    <row r="1906" spans="14:14" x14ac:dyDescent="0.25">
      <c r="N1906" s="70"/>
    </row>
    <row r="1907" spans="14:14" x14ac:dyDescent="0.25">
      <c r="N1907" s="70"/>
    </row>
    <row r="1908" spans="14:14" x14ac:dyDescent="0.25">
      <c r="N1908" s="70"/>
    </row>
    <row r="1909" spans="14:14" x14ac:dyDescent="0.25">
      <c r="N1909" s="70"/>
    </row>
    <row r="1910" spans="14:14" x14ac:dyDescent="0.25">
      <c r="N1910" s="70"/>
    </row>
    <row r="1911" spans="14:14" x14ac:dyDescent="0.25">
      <c r="N1911" s="70"/>
    </row>
    <row r="1912" spans="14:14" x14ac:dyDescent="0.25">
      <c r="N1912" s="70"/>
    </row>
    <row r="1913" spans="14:14" x14ac:dyDescent="0.25">
      <c r="N1913" s="70"/>
    </row>
    <row r="1914" spans="14:14" x14ac:dyDescent="0.25">
      <c r="N1914" s="70"/>
    </row>
    <row r="1915" spans="14:14" x14ac:dyDescent="0.25">
      <c r="N1915" s="70"/>
    </row>
    <row r="1916" spans="14:14" x14ac:dyDescent="0.25">
      <c r="N1916" s="70"/>
    </row>
    <row r="1917" spans="14:14" x14ac:dyDescent="0.25">
      <c r="N1917" s="70"/>
    </row>
    <row r="1918" spans="14:14" x14ac:dyDescent="0.25">
      <c r="N1918" s="70"/>
    </row>
    <row r="1919" spans="14:14" x14ac:dyDescent="0.25">
      <c r="N1919" s="70"/>
    </row>
    <row r="1920" spans="14:14" x14ac:dyDescent="0.25">
      <c r="N1920" s="70"/>
    </row>
    <row r="1921" spans="14:14" x14ac:dyDescent="0.25">
      <c r="N1921" s="70"/>
    </row>
    <row r="1922" spans="14:14" x14ac:dyDescent="0.25">
      <c r="N1922" s="70"/>
    </row>
    <row r="1923" spans="14:14" x14ac:dyDescent="0.25">
      <c r="N1923" s="70"/>
    </row>
    <row r="1924" spans="14:14" x14ac:dyDescent="0.25">
      <c r="N1924" s="70"/>
    </row>
    <row r="1925" spans="14:14" x14ac:dyDescent="0.25">
      <c r="N1925" s="70"/>
    </row>
    <row r="1926" spans="14:14" x14ac:dyDescent="0.25">
      <c r="N1926" s="70"/>
    </row>
    <row r="1927" spans="14:14" x14ac:dyDescent="0.25">
      <c r="N1927" s="70"/>
    </row>
    <row r="1928" spans="14:14" x14ac:dyDescent="0.25">
      <c r="N1928" s="70"/>
    </row>
    <row r="1929" spans="14:14" x14ac:dyDescent="0.25">
      <c r="N1929" s="70"/>
    </row>
    <row r="1930" spans="14:14" x14ac:dyDescent="0.25">
      <c r="N1930" s="70"/>
    </row>
    <row r="1931" spans="14:14" x14ac:dyDescent="0.25">
      <c r="N1931" s="70"/>
    </row>
    <row r="1932" spans="14:14" x14ac:dyDescent="0.25">
      <c r="N1932" s="70"/>
    </row>
    <row r="1933" spans="14:14" x14ac:dyDescent="0.25">
      <c r="N1933" s="70"/>
    </row>
    <row r="1934" spans="14:14" x14ac:dyDescent="0.25">
      <c r="N1934" s="70"/>
    </row>
    <row r="1935" spans="14:14" x14ac:dyDescent="0.25">
      <c r="N1935" s="70"/>
    </row>
    <row r="1936" spans="14:14" x14ac:dyDescent="0.25">
      <c r="N1936" s="70"/>
    </row>
    <row r="1937" spans="14:14" x14ac:dyDescent="0.25">
      <c r="N1937" s="70"/>
    </row>
    <row r="1938" spans="14:14" x14ac:dyDescent="0.25">
      <c r="N1938" s="70"/>
    </row>
    <row r="1939" spans="14:14" x14ac:dyDescent="0.25">
      <c r="N1939" s="70"/>
    </row>
    <row r="1940" spans="14:14" x14ac:dyDescent="0.25">
      <c r="N1940" s="70"/>
    </row>
    <row r="1941" spans="14:14" x14ac:dyDescent="0.25">
      <c r="N1941" s="70"/>
    </row>
    <row r="1942" spans="14:14" x14ac:dyDescent="0.25">
      <c r="N1942" s="70"/>
    </row>
    <row r="1943" spans="14:14" x14ac:dyDescent="0.25">
      <c r="N1943" s="70"/>
    </row>
    <row r="1944" spans="14:14" x14ac:dyDescent="0.25">
      <c r="N1944" s="70"/>
    </row>
    <row r="1945" spans="14:14" x14ac:dyDescent="0.25">
      <c r="N1945" s="70"/>
    </row>
    <row r="1946" spans="14:14" x14ac:dyDescent="0.25">
      <c r="N1946" s="70"/>
    </row>
    <row r="1947" spans="14:14" x14ac:dyDescent="0.25">
      <c r="N1947" s="70"/>
    </row>
    <row r="1948" spans="14:14" x14ac:dyDescent="0.25">
      <c r="N1948" s="70"/>
    </row>
    <row r="1949" spans="14:14" x14ac:dyDescent="0.25">
      <c r="N1949" s="70"/>
    </row>
    <row r="1950" spans="14:14" x14ac:dyDescent="0.25">
      <c r="N1950" s="70"/>
    </row>
    <row r="1951" spans="14:14" x14ac:dyDescent="0.25">
      <c r="N1951" s="70"/>
    </row>
    <row r="1952" spans="14:14" x14ac:dyDescent="0.25">
      <c r="N1952" s="70"/>
    </row>
    <row r="1953" spans="14:14" x14ac:dyDescent="0.25">
      <c r="N1953" s="70"/>
    </row>
    <row r="1954" spans="14:14" x14ac:dyDescent="0.25">
      <c r="N1954" s="70"/>
    </row>
    <row r="1955" spans="14:14" x14ac:dyDescent="0.25">
      <c r="N1955" s="70"/>
    </row>
    <row r="1956" spans="14:14" x14ac:dyDescent="0.25">
      <c r="N1956" s="70"/>
    </row>
    <row r="1957" spans="14:14" x14ac:dyDescent="0.25">
      <c r="N1957" s="70"/>
    </row>
    <row r="1958" spans="14:14" x14ac:dyDescent="0.25">
      <c r="N1958" s="70"/>
    </row>
    <row r="1959" spans="14:14" x14ac:dyDescent="0.25">
      <c r="N1959" s="70"/>
    </row>
    <row r="1960" spans="14:14" x14ac:dyDescent="0.25">
      <c r="N1960" s="70"/>
    </row>
    <row r="1961" spans="14:14" x14ac:dyDescent="0.25">
      <c r="N1961" s="70"/>
    </row>
    <row r="1962" spans="14:14" x14ac:dyDescent="0.25">
      <c r="N1962" s="70"/>
    </row>
    <row r="1963" spans="14:14" x14ac:dyDescent="0.25">
      <c r="N1963" s="70"/>
    </row>
    <row r="1964" spans="14:14" x14ac:dyDescent="0.25">
      <c r="N1964" s="70"/>
    </row>
    <row r="1965" spans="14:14" x14ac:dyDescent="0.25">
      <c r="N1965" s="70"/>
    </row>
    <row r="1966" spans="14:14" x14ac:dyDescent="0.25">
      <c r="N1966" s="70"/>
    </row>
    <row r="1967" spans="14:14" x14ac:dyDescent="0.25">
      <c r="N1967" s="70"/>
    </row>
    <row r="1968" spans="14:14" x14ac:dyDescent="0.25">
      <c r="N1968" s="70"/>
    </row>
    <row r="1969" spans="14:14" x14ac:dyDescent="0.25">
      <c r="N1969" s="70"/>
    </row>
    <row r="1970" spans="14:14" x14ac:dyDescent="0.25">
      <c r="N1970" s="70"/>
    </row>
    <row r="1971" spans="14:14" x14ac:dyDescent="0.25">
      <c r="N1971" s="70"/>
    </row>
    <row r="1972" spans="14:14" x14ac:dyDescent="0.25">
      <c r="N1972" s="70"/>
    </row>
    <row r="1973" spans="14:14" x14ac:dyDescent="0.25">
      <c r="N1973" s="70"/>
    </row>
    <row r="1974" spans="14:14" x14ac:dyDescent="0.25">
      <c r="N1974" s="70"/>
    </row>
    <row r="1975" spans="14:14" x14ac:dyDescent="0.25">
      <c r="N1975" s="70"/>
    </row>
    <row r="1976" spans="14:14" x14ac:dyDescent="0.25">
      <c r="N1976" s="70"/>
    </row>
    <row r="1977" spans="14:14" x14ac:dyDescent="0.25">
      <c r="N1977" s="70"/>
    </row>
    <row r="1978" spans="14:14" x14ac:dyDescent="0.25">
      <c r="N1978" s="70"/>
    </row>
    <row r="1979" spans="14:14" x14ac:dyDescent="0.25">
      <c r="N1979" s="70"/>
    </row>
    <row r="1980" spans="14:14" x14ac:dyDescent="0.25">
      <c r="N1980" s="70"/>
    </row>
    <row r="1981" spans="14:14" x14ac:dyDescent="0.25">
      <c r="N1981" s="70"/>
    </row>
    <row r="1982" spans="14:14" x14ac:dyDescent="0.25">
      <c r="N1982" s="70"/>
    </row>
    <row r="1983" spans="14:14" x14ac:dyDescent="0.25">
      <c r="N1983" s="70"/>
    </row>
    <row r="1984" spans="14:14" x14ac:dyDescent="0.25">
      <c r="N1984" s="70"/>
    </row>
    <row r="1985" spans="14:14" x14ac:dyDescent="0.25">
      <c r="N1985" s="70"/>
    </row>
    <row r="1986" spans="14:14" x14ac:dyDescent="0.25">
      <c r="N1986" s="70"/>
    </row>
    <row r="1987" spans="14:14" x14ac:dyDescent="0.25">
      <c r="N1987" s="70"/>
    </row>
    <row r="1988" spans="14:14" x14ac:dyDescent="0.25">
      <c r="N1988" s="70"/>
    </row>
    <row r="1989" spans="14:14" x14ac:dyDescent="0.25">
      <c r="N1989" s="70"/>
    </row>
    <row r="1990" spans="14:14" x14ac:dyDescent="0.25">
      <c r="N1990" s="70"/>
    </row>
    <row r="1991" spans="14:14" x14ac:dyDescent="0.25">
      <c r="N1991" s="70"/>
    </row>
    <row r="1992" spans="14:14" x14ac:dyDescent="0.25">
      <c r="N1992" s="70"/>
    </row>
    <row r="1993" spans="14:14" x14ac:dyDescent="0.25">
      <c r="N1993" s="70"/>
    </row>
    <row r="1994" spans="14:14" x14ac:dyDescent="0.25">
      <c r="N1994" s="70"/>
    </row>
    <row r="1995" spans="14:14" x14ac:dyDescent="0.25">
      <c r="N1995" s="70"/>
    </row>
    <row r="1996" spans="14:14" x14ac:dyDescent="0.25">
      <c r="N1996" s="70"/>
    </row>
    <row r="1997" spans="14:14" x14ac:dyDescent="0.25">
      <c r="N1997" s="70"/>
    </row>
    <row r="1998" spans="14:14" x14ac:dyDescent="0.25">
      <c r="N1998" s="70"/>
    </row>
    <row r="1999" spans="14:14" x14ac:dyDescent="0.25">
      <c r="N1999" s="70"/>
    </row>
    <row r="2000" spans="14:14" x14ac:dyDescent="0.25">
      <c r="N2000" s="70"/>
    </row>
    <row r="2001" spans="14:14" x14ac:dyDescent="0.25">
      <c r="N2001" s="70"/>
    </row>
    <row r="2002" spans="14:14" x14ac:dyDescent="0.25">
      <c r="N2002" s="70"/>
    </row>
    <row r="2003" spans="14:14" x14ac:dyDescent="0.25">
      <c r="N2003" s="70"/>
    </row>
    <row r="2004" spans="14:14" x14ac:dyDescent="0.25">
      <c r="N2004" s="70"/>
    </row>
    <row r="2005" spans="14:14" x14ac:dyDescent="0.25">
      <c r="N2005" s="70"/>
    </row>
    <row r="2006" spans="14:14" x14ac:dyDescent="0.25">
      <c r="N2006" s="70"/>
    </row>
    <row r="2007" spans="14:14" x14ac:dyDescent="0.25">
      <c r="N2007" s="70"/>
    </row>
    <row r="2008" spans="14:14" x14ac:dyDescent="0.25">
      <c r="N2008" s="70"/>
    </row>
    <row r="2009" spans="14:14" x14ac:dyDescent="0.25">
      <c r="N2009" s="70"/>
    </row>
    <row r="2010" spans="14:14" x14ac:dyDescent="0.25">
      <c r="N2010" s="70"/>
    </row>
    <row r="2011" spans="14:14" x14ac:dyDescent="0.25">
      <c r="N2011" s="70"/>
    </row>
    <row r="2012" spans="14:14" x14ac:dyDescent="0.25">
      <c r="N2012" s="70"/>
    </row>
    <row r="2013" spans="14:14" x14ac:dyDescent="0.25">
      <c r="N2013" s="70"/>
    </row>
    <row r="2014" spans="14:14" x14ac:dyDescent="0.25">
      <c r="N2014" s="70"/>
    </row>
    <row r="2015" spans="14:14" x14ac:dyDescent="0.25">
      <c r="N2015" s="70"/>
    </row>
    <row r="2016" spans="14:14" x14ac:dyDescent="0.25">
      <c r="N2016" s="70"/>
    </row>
    <row r="2017" spans="14:14" x14ac:dyDescent="0.25">
      <c r="N2017" s="70"/>
    </row>
    <row r="2018" spans="14:14" x14ac:dyDescent="0.25">
      <c r="N2018" s="70"/>
    </row>
    <row r="2019" spans="14:14" x14ac:dyDescent="0.25">
      <c r="N2019" s="70"/>
    </row>
    <row r="2020" spans="14:14" x14ac:dyDescent="0.25">
      <c r="N2020" s="70"/>
    </row>
    <row r="2021" spans="14:14" x14ac:dyDescent="0.25">
      <c r="N2021" s="70"/>
    </row>
    <row r="2022" spans="14:14" x14ac:dyDescent="0.25">
      <c r="N2022" s="70"/>
    </row>
    <row r="2023" spans="14:14" x14ac:dyDescent="0.25">
      <c r="N2023" s="70"/>
    </row>
    <row r="2024" spans="14:14" x14ac:dyDescent="0.25">
      <c r="N2024" s="70"/>
    </row>
    <row r="2025" spans="14:14" x14ac:dyDescent="0.25">
      <c r="N2025" s="70"/>
    </row>
    <row r="2026" spans="14:14" x14ac:dyDescent="0.25">
      <c r="N2026" s="70"/>
    </row>
    <row r="2027" spans="14:14" x14ac:dyDescent="0.25">
      <c r="N2027" s="70"/>
    </row>
    <row r="2028" spans="14:14" x14ac:dyDescent="0.25">
      <c r="N2028" s="70"/>
    </row>
    <row r="2029" spans="14:14" x14ac:dyDescent="0.25">
      <c r="N2029" s="70"/>
    </row>
    <row r="2030" spans="14:14" x14ac:dyDescent="0.25">
      <c r="N2030" s="70"/>
    </row>
    <row r="2031" spans="14:14" x14ac:dyDescent="0.25">
      <c r="N2031" s="70"/>
    </row>
    <row r="2032" spans="14:14" x14ac:dyDescent="0.25">
      <c r="N2032" s="70"/>
    </row>
    <row r="2033" spans="14:14" x14ac:dyDescent="0.25">
      <c r="N2033" s="70"/>
    </row>
    <row r="2034" spans="14:14" x14ac:dyDescent="0.25">
      <c r="N2034" s="70"/>
    </row>
    <row r="2035" spans="14:14" x14ac:dyDescent="0.25">
      <c r="N2035" s="70"/>
    </row>
    <row r="2036" spans="14:14" x14ac:dyDescent="0.25">
      <c r="N2036" s="70"/>
    </row>
    <row r="2037" spans="14:14" x14ac:dyDescent="0.25">
      <c r="N2037" s="70"/>
    </row>
    <row r="2038" spans="14:14" x14ac:dyDescent="0.25">
      <c r="N2038" s="70"/>
    </row>
    <row r="2039" spans="14:14" x14ac:dyDescent="0.25">
      <c r="N2039" s="70"/>
    </row>
    <row r="2040" spans="14:14" x14ac:dyDescent="0.25">
      <c r="N2040" s="70"/>
    </row>
    <row r="2041" spans="14:14" x14ac:dyDescent="0.25">
      <c r="N2041" s="70"/>
    </row>
    <row r="2042" spans="14:14" x14ac:dyDescent="0.25">
      <c r="N2042" s="70"/>
    </row>
    <row r="2043" spans="14:14" x14ac:dyDescent="0.25">
      <c r="N2043" s="70"/>
    </row>
    <row r="2044" spans="14:14" x14ac:dyDescent="0.25">
      <c r="N2044" s="70"/>
    </row>
    <row r="2045" spans="14:14" x14ac:dyDescent="0.25">
      <c r="N2045" s="70"/>
    </row>
    <row r="2046" spans="14:14" x14ac:dyDescent="0.25">
      <c r="N2046" s="70"/>
    </row>
    <row r="2047" spans="14:14" x14ac:dyDescent="0.25">
      <c r="N2047" s="70"/>
    </row>
    <row r="2048" spans="14:14" x14ac:dyDescent="0.25">
      <c r="N2048" s="70"/>
    </row>
    <row r="2049" spans="14:14" x14ac:dyDescent="0.25">
      <c r="N2049" s="70"/>
    </row>
    <row r="2050" spans="14:14" x14ac:dyDescent="0.25">
      <c r="N2050" s="70"/>
    </row>
    <row r="2051" spans="14:14" x14ac:dyDescent="0.25">
      <c r="N2051" s="70"/>
    </row>
    <row r="2052" spans="14:14" x14ac:dyDescent="0.25">
      <c r="N2052" s="70"/>
    </row>
    <row r="2053" spans="14:14" x14ac:dyDescent="0.25">
      <c r="N2053" s="70"/>
    </row>
    <row r="2054" spans="14:14" x14ac:dyDescent="0.25">
      <c r="N2054" s="70"/>
    </row>
    <row r="2055" spans="14:14" x14ac:dyDescent="0.25">
      <c r="N2055" s="70"/>
    </row>
    <row r="2056" spans="14:14" x14ac:dyDescent="0.25">
      <c r="N2056" s="70"/>
    </row>
    <row r="2057" spans="14:14" x14ac:dyDescent="0.25">
      <c r="N2057" s="70"/>
    </row>
    <row r="2058" spans="14:14" x14ac:dyDescent="0.25">
      <c r="N2058" s="70"/>
    </row>
    <row r="2059" spans="14:14" x14ac:dyDescent="0.25">
      <c r="N2059" s="70"/>
    </row>
    <row r="2060" spans="14:14" x14ac:dyDescent="0.25">
      <c r="N2060" s="70"/>
    </row>
    <row r="2061" spans="14:14" x14ac:dyDescent="0.25">
      <c r="N2061" s="70"/>
    </row>
    <row r="2062" spans="14:14" x14ac:dyDescent="0.25">
      <c r="N2062" s="70"/>
    </row>
    <row r="2063" spans="14:14" x14ac:dyDescent="0.25">
      <c r="N2063" s="70"/>
    </row>
    <row r="2064" spans="14:14" x14ac:dyDescent="0.25">
      <c r="N2064" s="70"/>
    </row>
    <row r="2065" spans="14:14" x14ac:dyDescent="0.25">
      <c r="N2065" s="70"/>
    </row>
    <row r="2066" spans="14:14" x14ac:dyDescent="0.25">
      <c r="N2066" s="70"/>
    </row>
    <row r="2067" spans="14:14" x14ac:dyDescent="0.25">
      <c r="N2067" s="70"/>
    </row>
    <row r="2068" spans="14:14" x14ac:dyDescent="0.25">
      <c r="N2068" s="70"/>
    </row>
    <row r="2069" spans="14:14" x14ac:dyDescent="0.25">
      <c r="N2069" s="70"/>
    </row>
    <row r="2070" spans="14:14" x14ac:dyDescent="0.25">
      <c r="N2070" s="70"/>
    </row>
    <row r="2071" spans="14:14" x14ac:dyDescent="0.25">
      <c r="N2071" s="70"/>
    </row>
    <row r="2072" spans="14:14" x14ac:dyDescent="0.25">
      <c r="N2072" s="70"/>
    </row>
    <row r="2073" spans="14:14" x14ac:dyDescent="0.25">
      <c r="N2073" s="70"/>
    </row>
    <row r="2074" spans="14:14" x14ac:dyDescent="0.25">
      <c r="N2074" s="70"/>
    </row>
    <row r="2075" spans="14:14" x14ac:dyDescent="0.25">
      <c r="N2075" s="70"/>
    </row>
    <row r="2076" spans="14:14" x14ac:dyDescent="0.25">
      <c r="N2076" s="70"/>
    </row>
    <row r="2077" spans="14:14" x14ac:dyDescent="0.25">
      <c r="N2077" s="70"/>
    </row>
    <row r="2078" spans="14:14" x14ac:dyDescent="0.25">
      <c r="N2078" s="70"/>
    </row>
    <row r="2079" spans="14:14" x14ac:dyDescent="0.25">
      <c r="N2079" s="70"/>
    </row>
    <row r="2080" spans="14:14" x14ac:dyDescent="0.25">
      <c r="N2080" s="70"/>
    </row>
    <row r="2081" spans="14:14" x14ac:dyDescent="0.25">
      <c r="N2081" s="70"/>
    </row>
    <row r="2082" spans="14:14" x14ac:dyDescent="0.25">
      <c r="N2082" s="70"/>
    </row>
    <row r="2083" spans="14:14" x14ac:dyDescent="0.25">
      <c r="N2083" s="70"/>
    </row>
    <row r="2084" spans="14:14" x14ac:dyDescent="0.25">
      <c r="N2084" s="70"/>
    </row>
    <row r="2085" spans="14:14" x14ac:dyDescent="0.25">
      <c r="N2085" s="70"/>
    </row>
    <row r="2086" spans="14:14" x14ac:dyDescent="0.25">
      <c r="N2086" s="70"/>
    </row>
    <row r="2087" spans="14:14" x14ac:dyDescent="0.25">
      <c r="N2087" s="70"/>
    </row>
    <row r="2088" spans="14:14" x14ac:dyDescent="0.25">
      <c r="N2088" s="70"/>
    </row>
    <row r="2089" spans="14:14" x14ac:dyDescent="0.25">
      <c r="N2089" s="70"/>
    </row>
    <row r="2090" spans="14:14" x14ac:dyDescent="0.25">
      <c r="N2090" s="70"/>
    </row>
    <row r="2091" spans="14:14" x14ac:dyDescent="0.25">
      <c r="N2091" s="70"/>
    </row>
    <row r="2092" spans="14:14" x14ac:dyDescent="0.25">
      <c r="N2092" s="70"/>
    </row>
    <row r="2093" spans="14:14" x14ac:dyDescent="0.25">
      <c r="N2093" s="70"/>
    </row>
    <row r="2094" spans="14:14" x14ac:dyDescent="0.25">
      <c r="N2094" s="70"/>
    </row>
    <row r="2095" spans="14:14" x14ac:dyDescent="0.25">
      <c r="N2095" s="70"/>
    </row>
    <row r="2096" spans="14:14" x14ac:dyDescent="0.25">
      <c r="N2096" s="70"/>
    </row>
    <row r="2097" spans="14:14" x14ac:dyDescent="0.25">
      <c r="N2097" s="70"/>
    </row>
    <row r="2098" spans="14:14" x14ac:dyDescent="0.25">
      <c r="N2098" s="70"/>
    </row>
    <row r="2099" spans="14:14" x14ac:dyDescent="0.25">
      <c r="N2099" s="70"/>
    </row>
    <row r="2100" spans="14:14" x14ac:dyDescent="0.25">
      <c r="N2100" s="70"/>
    </row>
    <row r="2101" spans="14:14" x14ac:dyDescent="0.25">
      <c r="N2101" s="70"/>
    </row>
    <row r="2102" spans="14:14" x14ac:dyDescent="0.25">
      <c r="N2102" s="70"/>
    </row>
    <row r="2103" spans="14:14" x14ac:dyDescent="0.25">
      <c r="N2103" s="70"/>
    </row>
    <row r="2104" spans="14:14" x14ac:dyDescent="0.25">
      <c r="N2104" s="70"/>
    </row>
    <row r="2105" spans="14:14" x14ac:dyDescent="0.25">
      <c r="N2105" s="70"/>
    </row>
    <row r="2106" spans="14:14" x14ac:dyDescent="0.25">
      <c r="N2106" s="70"/>
    </row>
    <row r="2107" spans="14:14" x14ac:dyDescent="0.25">
      <c r="N2107" s="70"/>
    </row>
    <row r="2108" spans="14:14" x14ac:dyDescent="0.25">
      <c r="N2108" s="70"/>
    </row>
    <row r="2109" spans="14:14" x14ac:dyDescent="0.25">
      <c r="N2109" s="70"/>
    </row>
    <row r="2110" spans="14:14" x14ac:dyDescent="0.25">
      <c r="N2110" s="70"/>
    </row>
    <row r="2111" spans="14:14" x14ac:dyDescent="0.25">
      <c r="N2111" s="70"/>
    </row>
    <row r="2112" spans="14:14" x14ac:dyDescent="0.25">
      <c r="N2112" s="70"/>
    </row>
    <row r="2113" spans="14:14" x14ac:dyDescent="0.25">
      <c r="N2113" s="70"/>
    </row>
    <row r="2114" spans="14:14" x14ac:dyDescent="0.25">
      <c r="N2114" s="70"/>
    </row>
    <row r="2115" spans="14:14" x14ac:dyDescent="0.25">
      <c r="N2115" s="70"/>
    </row>
    <row r="2116" spans="14:14" x14ac:dyDescent="0.25">
      <c r="N2116" s="70"/>
    </row>
    <row r="2117" spans="14:14" x14ac:dyDescent="0.25">
      <c r="N2117" s="70"/>
    </row>
    <row r="2118" spans="14:14" x14ac:dyDescent="0.25">
      <c r="N2118" s="70"/>
    </row>
    <row r="2119" spans="14:14" x14ac:dyDescent="0.25">
      <c r="N2119" s="70"/>
    </row>
    <row r="2120" spans="14:14" x14ac:dyDescent="0.25">
      <c r="N2120" s="70"/>
    </row>
    <row r="2121" spans="14:14" x14ac:dyDescent="0.25">
      <c r="N2121" s="70"/>
    </row>
    <row r="2122" spans="14:14" x14ac:dyDescent="0.25">
      <c r="N2122" s="70"/>
    </row>
    <row r="2123" spans="14:14" x14ac:dyDescent="0.25">
      <c r="N2123" s="70"/>
    </row>
    <row r="2124" spans="14:14" x14ac:dyDescent="0.25">
      <c r="N2124" s="70"/>
    </row>
    <row r="2125" spans="14:14" x14ac:dyDescent="0.25">
      <c r="N2125" s="70"/>
    </row>
    <row r="2126" spans="14:14" x14ac:dyDescent="0.25">
      <c r="N2126" s="70"/>
    </row>
    <row r="2127" spans="14:14" x14ac:dyDescent="0.25">
      <c r="N2127" s="70"/>
    </row>
    <row r="2128" spans="14:14" x14ac:dyDescent="0.25">
      <c r="N2128" s="70"/>
    </row>
    <row r="2129" spans="14:14" x14ac:dyDescent="0.25">
      <c r="N2129" s="70"/>
    </row>
    <row r="2130" spans="14:14" x14ac:dyDescent="0.25">
      <c r="N2130" s="70"/>
    </row>
    <row r="2131" spans="14:14" x14ac:dyDescent="0.25">
      <c r="N2131" s="70"/>
    </row>
    <row r="2132" spans="14:14" x14ac:dyDescent="0.25">
      <c r="N2132" s="70"/>
    </row>
    <row r="2133" spans="14:14" x14ac:dyDescent="0.25">
      <c r="N2133" s="70"/>
    </row>
    <row r="2134" spans="14:14" x14ac:dyDescent="0.25">
      <c r="N2134" s="70"/>
    </row>
    <row r="2135" spans="14:14" x14ac:dyDescent="0.25">
      <c r="N2135" s="70"/>
    </row>
    <row r="2136" spans="14:14" x14ac:dyDescent="0.25">
      <c r="N2136" s="70"/>
    </row>
    <row r="2137" spans="14:14" x14ac:dyDescent="0.25">
      <c r="N2137" s="70"/>
    </row>
    <row r="2138" spans="14:14" x14ac:dyDescent="0.25">
      <c r="N2138" s="70"/>
    </row>
    <row r="2139" spans="14:14" x14ac:dyDescent="0.25">
      <c r="N2139" s="70"/>
    </row>
    <row r="2140" spans="14:14" x14ac:dyDescent="0.25">
      <c r="N2140" s="70"/>
    </row>
    <row r="2141" spans="14:14" x14ac:dyDescent="0.25">
      <c r="N2141" s="70"/>
    </row>
    <row r="2142" spans="14:14" x14ac:dyDescent="0.25">
      <c r="N2142" s="70"/>
    </row>
    <row r="2143" spans="14:14" x14ac:dyDescent="0.25">
      <c r="N2143" s="70"/>
    </row>
    <row r="2144" spans="14:14" x14ac:dyDescent="0.25">
      <c r="N2144" s="70"/>
    </row>
    <row r="2145" spans="14:14" x14ac:dyDescent="0.25">
      <c r="N2145" s="70"/>
    </row>
    <row r="2146" spans="14:14" x14ac:dyDescent="0.25">
      <c r="N2146" s="70"/>
    </row>
    <row r="2147" spans="14:14" x14ac:dyDescent="0.25">
      <c r="N2147" s="70"/>
    </row>
    <row r="2148" spans="14:14" x14ac:dyDescent="0.25">
      <c r="N2148" s="70"/>
    </row>
    <row r="2149" spans="14:14" x14ac:dyDescent="0.25">
      <c r="N2149" s="70"/>
    </row>
    <row r="2150" spans="14:14" x14ac:dyDescent="0.25">
      <c r="N2150" s="70"/>
    </row>
    <row r="2151" spans="14:14" x14ac:dyDescent="0.25">
      <c r="N2151" s="70"/>
    </row>
    <row r="2152" spans="14:14" x14ac:dyDescent="0.25">
      <c r="N2152" s="70"/>
    </row>
    <row r="2153" spans="14:14" x14ac:dyDescent="0.25">
      <c r="N2153" s="70"/>
    </row>
    <row r="2154" spans="14:14" x14ac:dyDescent="0.25">
      <c r="N2154" s="70"/>
    </row>
    <row r="2155" spans="14:14" x14ac:dyDescent="0.25">
      <c r="N2155" s="70"/>
    </row>
    <row r="2156" spans="14:14" x14ac:dyDescent="0.25">
      <c r="N2156" s="70"/>
    </row>
    <row r="2157" spans="14:14" x14ac:dyDescent="0.25">
      <c r="N2157" s="70"/>
    </row>
    <row r="2158" spans="14:14" x14ac:dyDescent="0.25">
      <c r="N2158" s="70"/>
    </row>
    <row r="2159" spans="14:14" x14ac:dyDescent="0.25">
      <c r="N2159" s="70"/>
    </row>
    <row r="2160" spans="14:14" x14ac:dyDescent="0.25">
      <c r="N2160" s="70"/>
    </row>
    <row r="2161" spans="14:14" x14ac:dyDescent="0.25">
      <c r="N2161" s="70"/>
    </row>
    <row r="2162" spans="14:14" x14ac:dyDescent="0.25">
      <c r="N2162" s="70"/>
    </row>
    <row r="2163" spans="14:14" x14ac:dyDescent="0.25">
      <c r="N2163" s="70"/>
    </row>
    <row r="2164" spans="14:14" x14ac:dyDescent="0.25">
      <c r="N2164" s="70"/>
    </row>
    <row r="2165" spans="14:14" x14ac:dyDescent="0.25">
      <c r="N2165" s="70"/>
    </row>
    <row r="2166" spans="14:14" x14ac:dyDescent="0.25">
      <c r="N2166" s="70"/>
    </row>
    <row r="2167" spans="14:14" x14ac:dyDescent="0.25">
      <c r="N2167" s="70"/>
    </row>
    <row r="2168" spans="14:14" x14ac:dyDescent="0.25">
      <c r="N2168" s="70"/>
    </row>
    <row r="2169" spans="14:14" x14ac:dyDescent="0.25">
      <c r="N2169" s="70"/>
    </row>
    <row r="2170" spans="14:14" x14ac:dyDescent="0.25">
      <c r="N2170" s="70"/>
    </row>
    <row r="2171" spans="14:14" x14ac:dyDescent="0.25">
      <c r="N2171" s="70"/>
    </row>
    <row r="2172" spans="14:14" x14ac:dyDescent="0.25">
      <c r="N2172" s="70"/>
    </row>
    <row r="2173" spans="14:14" x14ac:dyDescent="0.25">
      <c r="N2173" s="70"/>
    </row>
    <row r="2174" spans="14:14" x14ac:dyDescent="0.25">
      <c r="N2174" s="70"/>
    </row>
    <row r="2175" spans="14:14" x14ac:dyDescent="0.25">
      <c r="N2175" s="70"/>
    </row>
    <row r="2176" spans="14:14" x14ac:dyDescent="0.25">
      <c r="N2176" s="70"/>
    </row>
    <row r="2177" spans="14:14" x14ac:dyDescent="0.25">
      <c r="N2177" s="70"/>
    </row>
    <row r="2178" spans="14:14" x14ac:dyDescent="0.25">
      <c r="N2178" s="70"/>
    </row>
    <row r="2179" spans="14:14" x14ac:dyDescent="0.25">
      <c r="N2179" s="70"/>
    </row>
    <row r="2180" spans="14:14" x14ac:dyDescent="0.25">
      <c r="N2180" s="70"/>
    </row>
    <row r="2181" spans="14:14" x14ac:dyDescent="0.25">
      <c r="N2181" s="70"/>
    </row>
    <row r="2182" spans="14:14" x14ac:dyDescent="0.25">
      <c r="N2182" s="70"/>
    </row>
    <row r="2183" spans="14:14" x14ac:dyDescent="0.25">
      <c r="N2183" s="70"/>
    </row>
    <row r="2184" spans="14:14" x14ac:dyDescent="0.25">
      <c r="N2184" s="70"/>
    </row>
    <row r="2185" spans="14:14" x14ac:dyDescent="0.25">
      <c r="N2185" s="70"/>
    </row>
    <row r="2186" spans="14:14" x14ac:dyDescent="0.25">
      <c r="N2186" s="70"/>
    </row>
    <row r="2187" spans="14:14" x14ac:dyDescent="0.25">
      <c r="N2187" s="70"/>
    </row>
    <row r="2188" spans="14:14" x14ac:dyDescent="0.25">
      <c r="N2188" s="70"/>
    </row>
    <row r="2189" spans="14:14" x14ac:dyDescent="0.25">
      <c r="N2189" s="70"/>
    </row>
    <row r="2190" spans="14:14" x14ac:dyDescent="0.25">
      <c r="N2190" s="70"/>
    </row>
    <row r="2191" spans="14:14" x14ac:dyDescent="0.25">
      <c r="N2191" s="70"/>
    </row>
    <row r="2192" spans="14:14" x14ac:dyDescent="0.25">
      <c r="N2192" s="70"/>
    </row>
    <row r="2193" spans="14:14" x14ac:dyDescent="0.25">
      <c r="N2193" s="70"/>
    </row>
    <row r="2194" spans="14:14" x14ac:dyDescent="0.25">
      <c r="N2194" s="70"/>
    </row>
    <row r="2195" spans="14:14" x14ac:dyDescent="0.25">
      <c r="N2195" s="70"/>
    </row>
    <row r="2196" spans="14:14" x14ac:dyDescent="0.25">
      <c r="N2196" s="70"/>
    </row>
    <row r="2197" spans="14:14" x14ac:dyDescent="0.25">
      <c r="N2197" s="70"/>
    </row>
    <row r="2198" spans="14:14" x14ac:dyDescent="0.25">
      <c r="N2198" s="70"/>
    </row>
    <row r="2199" spans="14:14" x14ac:dyDescent="0.25">
      <c r="N2199" s="70"/>
    </row>
    <row r="2200" spans="14:14" x14ac:dyDescent="0.25">
      <c r="N2200" s="70"/>
    </row>
    <row r="2201" spans="14:14" x14ac:dyDescent="0.25">
      <c r="N2201" s="70"/>
    </row>
    <row r="2202" spans="14:14" x14ac:dyDescent="0.25">
      <c r="N2202" s="70"/>
    </row>
    <row r="2203" spans="14:14" x14ac:dyDescent="0.25">
      <c r="N2203" s="70"/>
    </row>
    <row r="2204" spans="14:14" x14ac:dyDescent="0.25">
      <c r="N2204" s="70"/>
    </row>
    <row r="2205" spans="14:14" x14ac:dyDescent="0.25">
      <c r="N2205" s="70"/>
    </row>
    <row r="2206" spans="14:14" x14ac:dyDescent="0.25">
      <c r="N2206" s="70"/>
    </row>
    <row r="2207" spans="14:14" x14ac:dyDescent="0.25">
      <c r="N2207" s="70"/>
    </row>
    <row r="2208" spans="14:14" x14ac:dyDescent="0.25">
      <c r="N2208" s="70"/>
    </row>
    <row r="2209" spans="14:14" x14ac:dyDescent="0.25">
      <c r="N2209" s="70"/>
    </row>
    <row r="2210" spans="14:14" x14ac:dyDescent="0.25">
      <c r="N2210" s="70"/>
    </row>
    <row r="2211" spans="14:14" x14ac:dyDescent="0.25">
      <c r="N2211" s="70"/>
    </row>
    <row r="2212" spans="14:14" x14ac:dyDescent="0.25">
      <c r="N2212" s="70"/>
    </row>
    <row r="2213" spans="14:14" x14ac:dyDescent="0.25">
      <c r="N2213" s="70"/>
    </row>
    <row r="2214" spans="14:14" x14ac:dyDescent="0.25">
      <c r="N2214" s="70"/>
    </row>
    <row r="2215" spans="14:14" x14ac:dyDescent="0.25">
      <c r="N2215" s="70"/>
    </row>
    <row r="2216" spans="14:14" x14ac:dyDescent="0.25">
      <c r="N2216" s="70"/>
    </row>
    <row r="2217" spans="14:14" x14ac:dyDescent="0.25">
      <c r="N2217" s="70"/>
    </row>
    <row r="2218" spans="14:14" x14ac:dyDescent="0.25">
      <c r="N2218" s="70"/>
    </row>
    <row r="2219" spans="14:14" x14ac:dyDescent="0.25">
      <c r="N2219" s="70"/>
    </row>
    <row r="2220" spans="14:14" x14ac:dyDescent="0.25">
      <c r="N2220" s="70"/>
    </row>
    <row r="2221" spans="14:14" x14ac:dyDescent="0.25">
      <c r="N2221" s="70"/>
    </row>
    <row r="2222" spans="14:14" x14ac:dyDescent="0.25">
      <c r="N2222" s="70"/>
    </row>
    <row r="2223" spans="14:14" x14ac:dyDescent="0.25">
      <c r="N2223" s="70"/>
    </row>
    <row r="2224" spans="14:14" x14ac:dyDescent="0.25">
      <c r="N2224" s="70"/>
    </row>
    <row r="2225" spans="14:14" x14ac:dyDescent="0.25">
      <c r="N2225" s="70"/>
    </row>
    <row r="2226" spans="14:14" x14ac:dyDescent="0.25">
      <c r="N2226" s="70"/>
    </row>
    <row r="2227" spans="14:14" x14ac:dyDescent="0.25">
      <c r="N2227" s="70"/>
    </row>
    <row r="2228" spans="14:14" x14ac:dyDescent="0.25">
      <c r="N2228" s="70"/>
    </row>
    <row r="2229" spans="14:14" x14ac:dyDescent="0.25">
      <c r="N2229" s="70"/>
    </row>
    <row r="2230" spans="14:14" x14ac:dyDescent="0.25">
      <c r="N2230" s="70"/>
    </row>
    <row r="2231" spans="14:14" x14ac:dyDescent="0.25">
      <c r="N2231" s="70"/>
    </row>
    <row r="2232" spans="14:14" x14ac:dyDescent="0.25">
      <c r="N2232" s="70"/>
    </row>
    <row r="2233" spans="14:14" x14ac:dyDescent="0.25">
      <c r="N2233" s="70"/>
    </row>
    <row r="2234" spans="14:14" x14ac:dyDescent="0.25">
      <c r="N2234" s="70"/>
    </row>
    <row r="2235" spans="14:14" x14ac:dyDescent="0.25">
      <c r="N2235" s="70"/>
    </row>
    <row r="2236" spans="14:14" x14ac:dyDescent="0.25">
      <c r="N2236" s="70"/>
    </row>
    <row r="2237" spans="14:14" x14ac:dyDescent="0.25">
      <c r="N2237" s="70"/>
    </row>
    <row r="2238" spans="14:14" x14ac:dyDescent="0.25">
      <c r="N2238" s="70"/>
    </row>
    <row r="2239" spans="14:14" x14ac:dyDescent="0.25">
      <c r="N2239" s="70"/>
    </row>
    <row r="2240" spans="14:14" x14ac:dyDescent="0.25">
      <c r="N2240" s="70"/>
    </row>
    <row r="2241" spans="14:14" x14ac:dyDescent="0.25">
      <c r="N2241" s="70"/>
    </row>
    <row r="2242" spans="14:14" x14ac:dyDescent="0.25">
      <c r="N2242" s="70"/>
    </row>
    <row r="2243" spans="14:14" x14ac:dyDescent="0.25">
      <c r="N2243" s="70"/>
    </row>
    <row r="2244" spans="14:14" x14ac:dyDescent="0.25">
      <c r="N2244" s="70"/>
    </row>
    <row r="2245" spans="14:14" x14ac:dyDescent="0.25">
      <c r="N2245" s="70"/>
    </row>
    <row r="2246" spans="14:14" x14ac:dyDescent="0.25">
      <c r="N2246" s="70"/>
    </row>
    <row r="2247" spans="14:14" x14ac:dyDescent="0.25">
      <c r="N2247" s="70"/>
    </row>
    <row r="2248" spans="14:14" x14ac:dyDescent="0.25">
      <c r="N2248" s="70"/>
    </row>
    <row r="2249" spans="14:14" x14ac:dyDescent="0.25">
      <c r="N2249" s="70"/>
    </row>
    <row r="2250" spans="14:14" x14ac:dyDescent="0.25">
      <c r="N2250" s="70"/>
    </row>
    <row r="2251" spans="14:14" x14ac:dyDescent="0.25">
      <c r="N2251" s="70"/>
    </row>
    <row r="2252" spans="14:14" x14ac:dyDescent="0.25">
      <c r="N2252" s="70"/>
    </row>
    <row r="2253" spans="14:14" x14ac:dyDescent="0.25">
      <c r="N2253" s="70"/>
    </row>
    <row r="2254" spans="14:14" x14ac:dyDescent="0.25">
      <c r="N2254" s="70"/>
    </row>
    <row r="2255" spans="14:14" x14ac:dyDescent="0.25">
      <c r="N2255" s="70"/>
    </row>
    <row r="2256" spans="14:14" x14ac:dyDescent="0.25">
      <c r="N2256" s="70"/>
    </row>
    <row r="2257" spans="14:14" x14ac:dyDescent="0.25">
      <c r="N2257" s="70"/>
    </row>
    <row r="2258" spans="14:14" x14ac:dyDescent="0.25">
      <c r="N2258" s="70"/>
    </row>
    <row r="2259" spans="14:14" x14ac:dyDescent="0.25">
      <c r="N2259" s="70"/>
    </row>
    <row r="2260" spans="14:14" x14ac:dyDescent="0.25">
      <c r="N2260" s="70"/>
    </row>
    <row r="2261" spans="14:14" x14ac:dyDescent="0.25">
      <c r="N2261" s="70"/>
    </row>
    <row r="2262" spans="14:14" x14ac:dyDescent="0.25">
      <c r="N2262" s="70"/>
    </row>
    <row r="2263" spans="14:14" x14ac:dyDescent="0.25">
      <c r="N2263" s="70"/>
    </row>
    <row r="2264" spans="14:14" x14ac:dyDescent="0.25">
      <c r="N2264" s="70"/>
    </row>
    <row r="2265" spans="14:14" x14ac:dyDescent="0.25">
      <c r="N2265" s="70"/>
    </row>
    <row r="2266" spans="14:14" x14ac:dyDescent="0.25">
      <c r="N2266" s="70"/>
    </row>
    <row r="2267" spans="14:14" x14ac:dyDescent="0.25">
      <c r="N2267" s="70"/>
    </row>
    <row r="2268" spans="14:14" x14ac:dyDescent="0.25">
      <c r="N2268" s="70"/>
    </row>
    <row r="2269" spans="14:14" x14ac:dyDescent="0.25">
      <c r="N2269" s="70"/>
    </row>
    <row r="2270" spans="14:14" x14ac:dyDescent="0.25">
      <c r="N2270" s="70"/>
    </row>
    <row r="2271" spans="14:14" x14ac:dyDescent="0.25">
      <c r="N2271" s="70"/>
    </row>
    <row r="2272" spans="14:14" x14ac:dyDescent="0.25">
      <c r="N2272" s="70"/>
    </row>
    <row r="2273" spans="14:14" x14ac:dyDescent="0.25">
      <c r="N2273" s="70"/>
    </row>
    <row r="2274" spans="14:14" x14ac:dyDescent="0.25">
      <c r="N2274" s="70"/>
    </row>
    <row r="2275" spans="14:14" x14ac:dyDescent="0.25">
      <c r="N2275" s="70"/>
    </row>
    <row r="2276" spans="14:14" x14ac:dyDescent="0.25">
      <c r="N2276" s="70"/>
    </row>
    <row r="2277" spans="14:14" x14ac:dyDescent="0.25">
      <c r="N2277" s="70"/>
    </row>
    <row r="2278" spans="14:14" x14ac:dyDescent="0.25">
      <c r="N2278" s="70"/>
    </row>
    <row r="2279" spans="14:14" x14ac:dyDescent="0.25">
      <c r="N2279" s="70"/>
    </row>
    <row r="2280" spans="14:14" x14ac:dyDescent="0.25">
      <c r="N2280" s="70"/>
    </row>
    <row r="2281" spans="14:14" x14ac:dyDescent="0.25">
      <c r="N2281" s="70"/>
    </row>
    <row r="2282" spans="14:14" x14ac:dyDescent="0.25">
      <c r="N2282" s="70"/>
    </row>
    <row r="2283" spans="14:14" x14ac:dyDescent="0.25">
      <c r="N2283" s="70"/>
    </row>
    <row r="2284" spans="14:14" x14ac:dyDescent="0.25">
      <c r="N2284" s="70"/>
    </row>
    <row r="2285" spans="14:14" x14ac:dyDescent="0.25">
      <c r="N2285" s="70"/>
    </row>
    <row r="2286" spans="14:14" x14ac:dyDescent="0.25">
      <c r="N2286" s="70"/>
    </row>
    <row r="2287" spans="14:14" x14ac:dyDescent="0.25">
      <c r="N2287" s="70"/>
    </row>
    <row r="2288" spans="14:14" x14ac:dyDescent="0.25">
      <c r="N2288" s="70"/>
    </row>
    <row r="2289" spans="14:14" x14ac:dyDescent="0.25">
      <c r="N2289" s="70"/>
    </row>
    <row r="2290" spans="14:14" x14ac:dyDescent="0.25">
      <c r="N2290" s="70"/>
    </row>
    <row r="2291" spans="14:14" x14ac:dyDescent="0.25">
      <c r="N2291" s="70"/>
    </row>
    <row r="2292" spans="14:14" x14ac:dyDescent="0.25">
      <c r="N2292" s="70"/>
    </row>
    <row r="2293" spans="14:14" x14ac:dyDescent="0.25">
      <c r="N2293" s="70"/>
    </row>
    <row r="2294" spans="14:14" x14ac:dyDescent="0.25">
      <c r="N2294" s="70"/>
    </row>
    <row r="2295" spans="14:14" x14ac:dyDescent="0.25">
      <c r="N2295" s="70"/>
    </row>
    <row r="2296" spans="14:14" x14ac:dyDescent="0.25">
      <c r="N2296" s="70"/>
    </row>
    <row r="2297" spans="14:14" x14ac:dyDescent="0.25">
      <c r="N2297" s="70"/>
    </row>
    <row r="2298" spans="14:14" x14ac:dyDescent="0.25">
      <c r="N2298" s="70"/>
    </row>
    <row r="2299" spans="14:14" x14ac:dyDescent="0.25">
      <c r="N2299" s="70"/>
    </row>
    <row r="2300" spans="14:14" x14ac:dyDescent="0.25">
      <c r="N2300" s="70"/>
    </row>
    <row r="2301" spans="14:14" x14ac:dyDescent="0.25">
      <c r="N2301" s="70"/>
    </row>
    <row r="2302" spans="14:14" x14ac:dyDescent="0.25">
      <c r="N2302" s="70"/>
    </row>
    <row r="2303" spans="14:14" x14ac:dyDescent="0.25">
      <c r="N2303" s="70"/>
    </row>
    <row r="2304" spans="14:14" x14ac:dyDescent="0.25">
      <c r="N2304" s="70"/>
    </row>
    <row r="2305" spans="14:14" x14ac:dyDescent="0.25">
      <c r="N2305" s="70"/>
    </row>
    <row r="2306" spans="14:14" x14ac:dyDescent="0.25">
      <c r="N2306" s="70"/>
    </row>
    <row r="2307" spans="14:14" x14ac:dyDescent="0.25">
      <c r="N2307" s="70"/>
    </row>
    <row r="2308" spans="14:14" x14ac:dyDescent="0.25">
      <c r="N2308" s="70"/>
    </row>
    <row r="2309" spans="14:14" x14ac:dyDescent="0.25">
      <c r="N2309" s="70"/>
    </row>
    <row r="2310" spans="14:14" x14ac:dyDescent="0.25">
      <c r="N2310" s="70"/>
    </row>
    <row r="2311" spans="14:14" x14ac:dyDescent="0.25">
      <c r="N2311" s="70"/>
    </row>
    <row r="2312" spans="14:14" x14ac:dyDescent="0.25">
      <c r="N2312" s="70"/>
    </row>
    <row r="2313" spans="14:14" x14ac:dyDescent="0.25">
      <c r="N2313" s="70"/>
    </row>
    <row r="2314" spans="14:14" x14ac:dyDescent="0.25">
      <c r="N2314" s="70"/>
    </row>
    <row r="2315" spans="14:14" x14ac:dyDescent="0.25">
      <c r="N2315" s="70"/>
    </row>
    <row r="2316" spans="14:14" x14ac:dyDescent="0.25">
      <c r="N2316" s="70"/>
    </row>
    <row r="2317" spans="14:14" x14ac:dyDescent="0.25">
      <c r="N2317" s="70"/>
    </row>
    <row r="2318" spans="14:14" x14ac:dyDescent="0.25">
      <c r="N2318" s="70"/>
    </row>
    <row r="2319" spans="14:14" x14ac:dyDescent="0.25">
      <c r="N2319" s="70"/>
    </row>
    <row r="2320" spans="14:14" x14ac:dyDescent="0.25">
      <c r="N2320" s="70"/>
    </row>
    <row r="2321" spans="14:14" x14ac:dyDescent="0.25">
      <c r="N2321" s="70"/>
    </row>
    <row r="2322" spans="14:14" x14ac:dyDescent="0.25">
      <c r="N2322" s="70"/>
    </row>
    <row r="2323" spans="14:14" x14ac:dyDescent="0.25">
      <c r="N2323" s="70"/>
    </row>
    <row r="2324" spans="14:14" x14ac:dyDescent="0.25">
      <c r="N2324" s="70"/>
    </row>
    <row r="2325" spans="14:14" x14ac:dyDescent="0.25">
      <c r="N2325" s="70"/>
    </row>
    <row r="2326" spans="14:14" x14ac:dyDescent="0.25">
      <c r="N2326" s="70"/>
    </row>
    <row r="2327" spans="14:14" x14ac:dyDescent="0.25">
      <c r="N2327" s="70"/>
    </row>
    <row r="2328" spans="14:14" x14ac:dyDescent="0.25">
      <c r="N2328" s="70"/>
    </row>
    <row r="2329" spans="14:14" x14ac:dyDescent="0.25">
      <c r="N2329" s="70"/>
    </row>
    <row r="2330" spans="14:14" x14ac:dyDescent="0.25">
      <c r="N2330" s="70"/>
    </row>
    <row r="2331" spans="14:14" x14ac:dyDescent="0.25">
      <c r="N2331" s="70"/>
    </row>
    <row r="2332" spans="14:14" x14ac:dyDescent="0.25">
      <c r="N2332" s="70"/>
    </row>
    <row r="2333" spans="14:14" x14ac:dyDescent="0.25">
      <c r="N2333" s="70"/>
    </row>
    <row r="2334" spans="14:14" x14ac:dyDescent="0.25">
      <c r="N2334" s="70"/>
    </row>
    <row r="2335" spans="14:14" x14ac:dyDescent="0.25">
      <c r="N2335" s="70"/>
    </row>
    <row r="2336" spans="14:14" x14ac:dyDescent="0.25">
      <c r="N2336" s="70"/>
    </row>
    <row r="2337" spans="14:14" x14ac:dyDescent="0.25">
      <c r="N2337" s="70"/>
    </row>
    <row r="2338" spans="14:14" x14ac:dyDescent="0.25">
      <c r="N2338" s="70"/>
    </row>
    <row r="2339" spans="14:14" x14ac:dyDescent="0.25">
      <c r="N2339" s="70"/>
    </row>
    <row r="2340" spans="14:14" x14ac:dyDescent="0.25">
      <c r="N2340" s="70"/>
    </row>
    <row r="2341" spans="14:14" x14ac:dyDescent="0.25">
      <c r="N2341" s="70"/>
    </row>
    <row r="2342" spans="14:14" x14ac:dyDescent="0.25">
      <c r="N2342" s="70"/>
    </row>
    <row r="2343" spans="14:14" x14ac:dyDescent="0.25">
      <c r="N2343" s="70"/>
    </row>
    <row r="2344" spans="14:14" x14ac:dyDescent="0.25">
      <c r="N2344" s="70"/>
    </row>
    <row r="2345" spans="14:14" x14ac:dyDescent="0.25">
      <c r="N2345" s="70"/>
    </row>
    <row r="2346" spans="14:14" x14ac:dyDescent="0.25">
      <c r="N2346" s="70"/>
    </row>
    <row r="2347" spans="14:14" x14ac:dyDescent="0.25">
      <c r="N2347" s="70"/>
    </row>
    <row r="2348" spans="14:14" x14ac:dyDescent="0.25">
      <c r="N2348" s="70"/>
    </row>
    <row r="2349" spans="14:14" x14ac:dyDescent="0.25">
      <c r="N2349" s="70"/>
    </row>
    <row r="2350" spans="14:14" x14ac:dyDescent="0.25">
      <c r="N2350" s="70"/>
    </row>
    <row r="2351" spans="14:14" x14ac:dyDescent="0.25">
      <c r="N2351" s="70"/>
    </row>
    <row r="2352" spans="14:14" x14ac:dyDescent="0.25">
      <c r="N2352" s="70"/>
    </row>
    <row r="2353" spans="14:14" x14ac:dyDescent="0.25">
      <c r="N2353" s="70"/>
    </row>
    <row r="2354" spans="14:14" x14ac:dyDescent="0.25">
      <c r="N2354" s="70"/>
    </row>
    <row r="2355" spans="14:14" x14ac:dyDescent="0.25">
      <c r="N2355" s="70"/>
    </row>
    <row r="2356" spans="14:14" x14ac:dyDescent="0.25">
      <c r="N2356" s="70"/>
    </row>
    <row r="2357" spans="14:14" x14ac:dyDescent="0.25">
      <c r="N2357" s="70"/>
    </row>
    <row r="2358" spans="14:14" x14ac:dyDescent="0.25">
      <c r="N2358" s="70"/>
    </row>
    <row r="2359" spans="14:14" x14ac:dyDescent="0.25">
      <c r="N2359" s="70"/>
    </row>
    <row r="2360" spans="14:14" x14ac:dyDescent="0.25">
      <c r="N2360" s="70"/>
    </row>
    <row r="2361" spans="14:14" x14ac:dyDescent="0.25">
      <c r="N2361" s="70"/>
    </row>
    <row r="2362" spans="14:14" x14ac:dyDescent="0.25">
      <c r="N2362" s="70"/>
    </row>
    <row r="2363" spans="14:14" x14ac:dyDescent="0.25">
      <c r="N2363" s="70"/>
    </row>
    <row r="2364" spans="14:14" x14ac:dyDescent="0.25">
      <c r="N2364" s="70"/>
    </row>
    <row r="2365" spans="14:14" x14ac:dyDescent="0.25">
      <c r="N2365" s="70"/>
    </row>
    <row r="2366" spans="14:14" x14ac:dyDescent="0.25">
      <c r="N2366" s="70"/>
    </row>
    <row r="2367" spans="14:14" x14ac:dyDescent="0.25">
      <c r="N2367" s="70"/>
    </row>
    <row r="2368" spans="14:14" x14ac:dyDescent="0.25">
      <c r="N2368" s="70"/>
    </row>
    <row r="2369" spans="14:14" x14ac:dyDescent="0.25">
      <c r="N2369" s="70"/>
    </row>
    <row r="2370" spans="14:14" x14ac:dyDescent="0.25">
      <c r="N2370" s="70"/>
    </row>
    <row r="2371" spans="14:14" x14ac:dyDescent="0.25">
      <c r="N2371" s="70"/>
    </row>
    <row r="2372" spans="14:14" x14ac:dyDescent="0.25">
      <c r="N2372" s="70"/>
    </row>
    <row r="2373" spans="14:14" x14ac:dyDescent="0.25">
      <c r="N2373" s="70"/>
    </row>
    <row r="2374" spans="14:14" x14ac:dyDescent="0.25">
      <c r="N2374" s="70"/>
    </row>
    <row r="2375" spans="14:14" x14ac:dyDescent="0.25">
      <c r="N2375" s="70"/>
    </row>
    <row r="2376" spans="14:14" x14ac:dyDescent="0.25">
      <c r="N2376" s="70"/>
    </row>
    <row r="2377" spans="14:14" x14ac:dyDescent="0.25">
      <c r="N2377" s="70"/>
    </row>
    <row r="2378" spans="14:14" x14ac:dyDescent="0.25">
      <c r="N2378" s="70"/>
    </row>
    <row r="2379" spans="14:14" x14ac:dyDescent="0.25">
      <c r="N2379" s="70"/>
    </row>
    <row r="2380" spans="14:14" x14ac:dyDescent="0.25">
      <c r="N2380" s="70"/>
    </row>
    <row r="2381" spans="14:14" x14ac:dyDescent="0.25">
      <c r="N2381" s="70"/>
    </row>
    <row r="2382" spans="14:14" x14ac:dyDescent="0.25">
      <c r="N2382" s="70"/>
    </row>
    <row r="2383" spans="14:14" x14ac:dyDescent="0.25">
      <c r="N2383" s="70"/>
    </row>
    <row r="2384" spans="14:14" x14ac:dyDescent="0.25">
      <c r="N2384" s="70"/>
    </row>
    <row r="2385" spans="14:14" x14ac:dyDescent="0.25">
      <c r="N2385" s="70"/>
    </row>
    <row r="2386" spans="14:14" x14ac:dyDescent="0.25">
      <c r="N2386" s="70"/>
    </row>
    <row r="2387" spans="14:14" x14ac:dyDescent="0.25">
      <c r="N2387" s="70"/>
    </row>
    <row r="2388" spans="14:14" x14ac:dyDescent="0.25">
      <c r="N2388" s="70"/>
    </row>
    <row r="2389" spans="14:14" x14ac:dyDescent="0.25">
      <c r="N2389" s="70"/>
    </row>
    <row r="2390" spans="14:14" x14ac:dyDescent="0.25">
      <c r="N2390" s="70"/>
    </row>
    <row r="2391" spans="14:14" x14ac:dyDescent="0.25">
      <c r="N2391" s="70"/>
    </row>
    <row r="2392" spans="14:14" x14ac:dyDescent="0.25">
      <c r="N2392" s="70"/>
    </row>
    <row r="2393" spans="14:14" x14ac:dyDescent="0.25">
      <c r="N2393" s="70"/>
    </row>
    <row r="2394" spans="14:14" x14ac:dyDescent="0.25">
      <c r="N2394" s="70"/>
    </row>
    <row r="2395" spans="14:14" x14ac:dyDescent="0.25">
      <c r="N2395" s="70"/>
    </row>
    <row r="2396" spans="14:14" x14ac:dyDescent="0.25">
      <c r="N2396" s="70"/>
    </row>
    <row r="2397" spans="14:14" x14ac:dyDescent="0.25">
      <c r="N2397" s="70"/>
    </row>
    <row r="2398" spans="14:14" x14ac:dyDescent="0.25">
      <c r="N2398" s="70"/>
    </row>
    <row r="2399" spans="14:14" x14ac:dyDescent="0.25">
      <c r="N2399" s="70"/>
    </row>
    <row r="2400" spans="14:14" x14ac:dyDescent="0.25">
      <c r="N2400" s="70"/>
    </row>
    <row r="2401" spans="14:14" x14ac:dyDescent="0.25">
      <c r="N2401" s="70"/>
    </row>
    <row r="2402" spans="14:14" x14ac:dyDescent="0.25">
      <c r="N2402" s="70"/>
    </row>
    <row r="2403" spans="14:14" x14ac:dyDescent="0.25">
      <c r="N2403" s="70"/>
    </row>
    <row r="2404" spans="14:14" x14ac:dyDescent="0.25">
      <c r="N2404" s="70"/>
    </row>
    <row r="2405" spans="14:14" x14ac:dyDescent="0.25">
      <c r="N2405" s="70"/>
    </row>
    <row r="2406" spans="14:14" x14ac:dyDescent="0.25">
      <c r="N2406" s="70"/>
    </row>
    <row r="2407" spans="14:14" x14ac:dyDescent="0.25">
      <c r="N2407" s="70"/>
    </row>
    <row r="2408" spans="14:14" x14ac:dyDescent="0.25">
      <c r="N2408" s="70"/>
    </row>
    <row r="2409" spans="14:14" x14ac:dyDescent="0.25">
      <c r="N2409" s="70"/>
    </row>
    <row r="2410" spans="14:14" x14ac:dyDescent="0.25">
      <c r="N2410" s="70"/>
    </row>
    <row r="2411" spans="14:14" x14ac:dyDescent="0.25">
      <c r="N2411" s="70"/>
    </row>
    <row r="2412" spans="14:14" x14ac:dyDescent="0.25">
      <c r="N2412" s="70"/>
    </row>
    <row r="2413" spans="14:14" x14ac:dyDescent="0.25">
      <c r="N2413" s="70"/>
    </row>
    <row r="2414" spans="14:14" x14ac:dyDescent="0.25">
      <c r="N2414" s="70"/>
    </row>
    <row r="2415" spans="14:14" x14ac:dyDescent="0.25">
      <c r="N2415" s="70"/>
    </row>
    <row r="2416" spans="14:14" x14ac:dyDescent="0.25">
      <c r="N2416" s="70"/>
    </row>
    <row r="2417" spans="14:14" x14ac:dyDescent="0.25">
      <c r="N2417" s="70"/>
    </row>
    <row r="2418" spans="14:14" x14ac:dyDescent="0.25">
      <c r="N2418" s="70"/>
    </row>
    <row r="2419" spans="14:14" x14ac:dyDescent="0.25">
      <c r="N2419" s="70"/>
    </row>
    <row r="2420" spans="14:14" x14ac:dyDescent="0.25">
      <c r="N2420" s="70"/>
    </row>
    <row r="2421" spans="14:14" x14ac:dyDescent="0.25">
      <c r="N2421" s="70"/>
    </row>
    <row r="2422" spans="14:14" x14ac:dyDescent="0.25">
      <c r="N2422" s="70"/>
    </row>
    <row r="2423" spans="14:14" x14ac:dyDescent="0.25">
      <c r="N2423" s="70"/>
    </row>
    <row r="2424" spans="14:14" x14ac:dyDescent="0.25">
      <c r="N2424" s="70"/>
    </row>
    <row r="2425" spans="14:14" x14ac:dyDescent="0.25">
      <c r="N2425" s="70"/>
    </row>
    <row r="2426" spans="14:14" x14ac:dyDescent="0.25">
      <c r="N2426" s="70"/>
    </row>
    <row r="2427" spans="14:14" x14ac:dyDescent="0.25">
      <c r="N2427" s="70"/>
    </row>
    <row r="2428" spans="14:14" x14ac:dyDescent="0.25">
      <c r="N2428" s="70"/>
    </row>
    <row r="2429" spans="14:14" x14ac:dyDescent="0.25">
      <c r="N2429" s="70"/>
    </row>
    <row r="2430" spans="14:14" x14ac:dyDescent="0.25">
      <c r="N2430" s="70"/>
    </row>
    <row r="2431" spans="14:14" x14ac:dyDescent="0.25">
      <c r="N2431" s="70"/>
    </row>
    <row r="2432" spans="14:14" x14ac:dyDescent="0.25">
      <c r="N2432" s="70"/>
    </row>
    <row r="2433" spans="14:14" x14ac:dyDescent="0.25">
      <c r="N2433" s="70"/>
    </row>
    <row r="2434" spans="14:14" x14ac:dyDescent="0.25">
      <c r="N2434" s="70"/>
    </row>
    <row r="2435" spans="14:14" x14ac:dyDescent="0.25">
      <c r="N2435" s="70"/>
    </row>
    <row r="2436" spans="14:14" x14ac:dyDescent="0.25">
      <c r="N2436" s="70"/>
    </row>
    <row r="2437" spans="14:14" x14ac:dyDescent="0.25">
      <c r="N2437" s="70"/>
    </row>
    <row r="2438" spans="14:14" x14ac:dyDescent="0.25">
      <c r="N2438" s="70"/>
    </row>
    <row r="2439" spans="14:14" x14ac:dyDescent="0.25">
      <c r="N2439" s="70"/>
    </row>
    <row r="2440" spans="14:14" x14ac:dyDescent="0.25">
      <c r="N2440" s="70"/>
    </row>
    <row r="2441" spans="14:14" x14ac:dyDescent="0.25">
      <c r="N2441" s="70"/>
    </row>
    <row r="2442" spans="14:14" x14ac:dyDescent="0.25">
      <c r="N2442" s="70"/>
    </row>
    <row r="2443" spans="14:14" x14ac:dyDescent="0.25">
      <c r="N2443" s="70"/>
    </row>
    <row r="2444" spans="14:14" x14ac:dyDescent="0.25">
      <c r="N2444" s="70"/>
    </row>
    <row r="2445" spans="14:14" x14ac:dyDescent="0.25">
      <c r="N2445" s="70"/>
    </row>
    <row r="2446" spans="14:14" x14ac:dyDescent="0.25">
      <c r="N2446" s="70"/>
    </row>
    <row r="2447" spans="14:14" x14ac:dyDescent="0.25">
      <c r="N2447" s="70"/>
    </row>
    <row r="2448" spans="14:14" x14ac:dyDescent="0.25">
      <c r="N2448" s="70"/>
    </row>
    <row r="2449" spans="14:14" x14ac:dyDescent="0.25">
      <c r="N2449" s="70"/>
    </row>
    <row r="2450" spans="14:14" x14ac:dyDescent="0.25">
      <c r="N2450" s="70"/>
    </row>
    <row r="2451" spans="14:14" x14ac:dyDescent="0.25">
      <c r="N2451" s="70"/>
    </row>
    <row r="2452" spans="14:14" x14ac:dyDescent="0.25">
      <c r="N2452" s="70"/>
    </row>
    <row r="2453" spans="14:14" x14ac:dyDescent="0.25">
      <c r="N2453" s="70"/>
    </row>
    <row r="2454" spans="14:14" x14ac:dyDescent="0.25">
      <c r="N2454" s="70"/>
    </row>
    <row r="2455" spans="14:14" x14ac:dyDescent="0.25">
      <c r="N2455" s="70"/>
    </row>
    <row r="2456" spans="14:14" x14ac:dyDescent="0.25">
      <c r="N2456" s="70"/>
    </row>
    <row r="2457" spans="14:14" x14ac:dyDescent="0.25">
      <c r="N2457" s="70"/>
    </row>
    <row r="2458" spans="14:14" x14ac:dyDescent="0.25">
      <c r="N2458" s="70"/>
    </row>
    <row r="2459" spans="14:14" x14ac:dyDescent="0.25">
      <c r="N2459" s="70"/>
    </row>
    <row r="2460" spans="14:14" x14ac:dyDescent="0.25">
      <c r="N2460" s="70"/>
    </row>
    <row r="2461" spans="14:14" x14ac:dyDescent="0.25">
      <c r="N2461" s="70"/>
    </row>
    <row r="2462" spans="14:14" x14ac:dyDescent="0.25">
      <c r="N2462" s="70"/>
    </row>
    <row r="2463" spans="14:14" x14ac:dyDescent="0.25">
      <c r="N2463" s="70"/>
    </row>
    <row r="2464" spans="14:14" x14ac:dyDescent="0.25">
      <c r="N2464" s="70"/>
    </row>
    <row r="2465" spans="14:14" x14ac:dyDescent="0.25">
      <c r="N2465" s="70"/>
    </row>
    <row r="2466" spans="14:14" x14ac:dyDescent="0.25">
      <c r="N2466" s="70"/>
    </row>
    <row r="2467" spans="14:14" x14ac:dyDescent="0.25">
      <c r="N2467" s="70"/>
    </row>
    <row r="2468" spans="14:14" x14ac:dyDescent="0.25">
      <c r="N2468" s="70"/>
    </row>
    <row r="2469" spans="14:14" x14ac:dyDescent="0.25">
      <c r="N2469" s="70"/>
    </row>
    <row r="2470" spans="14:14" x14ac:dyDescent="0.25">
      <c r="N2470" s="70"/>
    </row>
    <row r="2471" spans="14:14" x14ac:dyDescent="0.25">
      <c r="N2471" s="70"/>
    </row>
    <row r="2472" spans="14:14" x14ac:dyDescent="0.25">
      <c r="N2472" s="70"/>
    </row>
    <row r="2473" spans="14:14" x14ac:dyDescent="0.25">
      <c r="N2473" s="70"/>
    </row>
    <row r="2474" spans="14:14" x14ac:dyDescent="0.25">
      <c r="N2474" s="70"/>
    </row>
    <row r="2475" spans="14:14" x14ac:dyDescent="0.25">
      <c r="N2475" s="70"/>
    </row>
    <row r="2476" spans="14:14" x14ac:dyDescent="0.25">
      <c r="N2476" s="70"/>
    </row>
    <row r="2477" spans="14:14" x14ac:dyDescent="0.25">
      <c r="N2477" s="70"/>
    </row>
    <row r="2478" spans="14:14" x14ac:dyDescent="0.25">
      <c r="N2478" s="70"/>
    </row>
    <row r="2479" spans="14:14" x14ac:dyDescent="0.25">
      <c r="N2479" s="70"/>
    </row>
    <row r="2480" spans="14:14" x14ac:dyDescent="0.25">
      <c r="N2480" s="70"/>
    </row>
    <row r="2481" spans="14:14" x14ac:dyDescent="0.25">
      <c r="N2481" s="70"/>
    </row>
    <row r="2482" spans="14:14" x14ac:dyDescent="0.25">
      <c r="N2482" s="70"/>
    </row>
    <row r="2483" spans="14:14" x14ac:dyDescent="0.25">
      <c r="N2483" s="70"/>
    </row>
    <row r="2484" spans="14:14" x14ac:dyDescent="0.25">
      <c r="N2484" s="70"/>
    </row>
    <row r="2485" spans="14:14" x14ac:dyDescent="0.25">
      <c r="N2485" s="70"/>
    </row>
    <row r="2486" spans="14:14" x14ac:dyDescent="0.25">
      <c r="N2486" s="70"/>
    </row>
    <row r="2487" spans="14:14" x14ac:dyDescent="0.25">
      <c r="N2487" s="70"/>
    </row>
    <row r="2488" spans="14:14" x14ac:dyDescent="0.25">
      <c r="N2488" s="70"/>
    </row>
    <row r="2489" spans="14:14" x14ac:dyDescent="0.25">
      <c r="N2489" s="70"/>
    </row>
    <row r="2490" spans="14:14" x14ac:dyDescent="0.25">
      <c r="N2490" s="70"/>
    </row>
    <row r="2491" spans="14:14" x14ac:dyDescent="0.25">
      <c r="N2491" s="70"/>
    </row>
    <row r="2492" spans="14:14" x14ac:dyDescent="0.25">
      <c r="N2492" s="70"/>
    </row>
    <row r="2493" spans="14:14" x14ac:dyDescent="0.25">
      <c r="N2493" s="70"/>
    </row>
    <row r="2494" spans="14:14" x14ac:dyDescent="0.25">
      <c r="N2494" s="70"/>
    </row>
    <row r="2495" spans="14:14" x14ac:dyDescent="0.25">
      <c r="N2495" s="70"/>
    </row>
    <row r="2496" spans="14:14" x14ac:dyDescent="0.25">
      <c r="N2496" s="70"/>
    </row>
    <row r="2497" spans="14:14" x14ac:dyDescent="0.25">
      <c r="N2497" s="70"/>
    </row>
    <row r="2498" spans="14:14" x14ac:dyDescent="0.25">
      <c r="N2498" s="70"/>
    </row>
    <row r="2499" spans="14:14" x14ac:dyDescent="0.25">
      <c r="N2499" s="70"/>
    </row>
    <row r="2500" spans="14:14" x14ac:dyDescent="0.25">
      <c r="N2500" s="70"/>
    </row>
    <row r="2501" spans="14:14" x14ac:dyDescent="0.25">
      <c r="N2501" s="70"/>
    </row>
    <row r="2502" spans="14:14" x14ac:dyDescent="0.25">
      <c r="N2502" s="70"/>
    </row>
    <row r="2503" spans="14:14" x14ac:dyDescent="0.25">
      <c r="N2503" s="70"/>
    </row>
    <row r="2504" spans="14:14" x14ac:dyDescent="0.25">
      <c r="N2504" s="70"/>
    </row>
    <row r="2505" spans="14:14" x14ac:dyDescent="0.25">
      <c r="N2505" s="70"/>
    </row>
    <row r="2506" spans="14:14" x14ac:dyDescent="0.25">
      <c r="N2506" s="70"/>
    </row>
    <row r="2507" spans="14:14" x14ac:dyDescent="0.25">
      <c r="N2507" s="70"/>
    </row>
    <row r="2508" spans="14:14" x14ac:dyDescent="0.25">
      <c r="N2508" s="70"/>
    </row>
    <row r="2509" spans="14:14" x14ac:dyDescent="0.25">
      <c r="N2509" s="70"/>
    </row>
    <row r="2510" spans="14:14" x14ac:dyDescent="0.25">
      <c r="N2510" s="70"/>
    </row>
    <row r="2511" spans="14:14" x14ac:dyDescent="0.25">
      <c r="N2511" s="70"/>
    </row>
    <row r="2512" spans="14:14" x14ac:dyDescent="0.25">
      <c r="N2512" s="70"/>
    </row>
    <row r="2513" spans="14:14" x14ac:dyDescent="0.25">
      <c r="N2513" s="70"/>
    </row>
    <row r="2514" spans="14:14" x14ac:dyDescent="0.25">
      <c r="N2514" s="70"/>
    </row>
    <row r="2515" spans="14:14" x14ac:dyDescent="0.25">
      <c r="N2515" s="70"/>
    </row>
    <row r="2516" spans="14:14" x14ac:dyDescent="0.25">
      <c r="N2516" s="70"/>
    </row>
    <row r="2517" spans="14:14" x14ac:dyDescent="0.25">
      <c r="N2517" s="70"/>
    </row>
    <row r="2518" spans="14:14" x14ac:dyDescent="0.25">
      <c r="N2518" s="70"/>
    </row>
    <row r="2519" spans="14:14" x14ac:dyDescent="0.25">
      <c r="N2519" s="70"/>
    </row>
    <row r="2520" spans="14:14" x14ac:dyDescent="0.25">
      <c r="N2520" s="70"/>
    </row>
    <row r="2521" spans="14:14" x14ac:dyDescent="0.25">
      <c r="N2521" s="70"/>
    </row>
    <row r="2522" spans="14:14" x14ac:dyDescent="0.25">
      <c r="N2522" s="70"/>
    </row>
    <row r="2523" spans="14:14" x14ac:dyDescent="0.25">
      <c r="N2523" s="70"/>
    </row>
    <row r="2524" spans="14:14" x14ac:dyDescent="0.25">
      <c r="N2524" s="70"/>
    </row>
    <row r="2525" spans="14:14" x14ac:dyDescent="0.25">
      <c r="N2525" s="70"/>
    </row>
    <row r="2526" spans="14:14" x14ac:dyDescent="0.25">
      <c r="N2526" s="70"/>
    </row>
    <row r="2527" spans="14:14" x14ac:dyDescent="0.25">
      <c r="N2527" s="70"/>
    </row>
    <row r="2528" spans="14:14" x14ac:dyDescent="0.25">
      <c r="N2528" s="70"/>
    </row>
    <row r="2529" spans="14:14" x14ac:dyDescent="0.25">
      <c r="N2529" s="70"/>
    </row>
    <row r="2530" spans="14:14" x14ac:dyDescent="0.25">
      <c r="N2530" s="70"/>
    </row>
    <row r="2531" spans="14:14" x14ac:dyDescent="0.25">
      <c r="N2531" s="70"/>
    </row>
    <row r="2532" spans="14:14" x14ac:dyDescent="0.25">
      <c r="N2532" s="70"/>
    </row>
    <row r="2533" spans="14:14" x14ac:dyDescent="0.25">
      <c r="N2533" s="70"/>
    </row>
    <row r="2534" spans="14:14" x14ac:dyDescent="0.25">
      <c r="N2534" s="70"/>
    </row>
    <row r="2535" spans="14:14" x14ac:dyDescent="0.25">
      <c r="N2535" s="70"/>
    </row>
    <row r="2536" spans="14:14" x14ac:dyDescent="0.25">
      <c r="N2536" s="70"/>
    </row>
    <row r="2537" spans="14:14" x14ac:dyDescent="0.25">
      <c r="N2537" s="70"/>
    </row>
    <row r="2538" spans="14:14" x14ac:dyDescent="0.25">
      <c r="N2538" s="70"/>
    </row>
    <row r="2539" spans="14:14" x14ac:dyDescent="0.25">
      <c r="N2539" s="70"/>
    </row>
    <row r="2540" spans="14:14" x14ac:dyDescent="0.25">
      <c r="N2540" s="70"/>
    </row>
    <row r="2541" spans="14:14" x14ac:dyDescent="0.25">
      <c r="N2541" s="70"/>
    </row>
    <row r="2542" spans="14:14" x14ac:dyDescent="0.25">
      <c r="N2542" s="70"/>
    </row>
    <row r="2543" spans="14:14" x14ac:dyDescent="0.25">
      <c r="N2543" s="70"/>
    </row>
    <row r="2544" spans="14:14" x14ac:dyDescent="0.25">
      <c r="N2544" s="70"/>
    </row>
    <row r="2545" spans="14:14" x14ac:dyDescent="0.25">
      <c r="N2545" s="70"/>
    </row>
    <row r="2546" spans="14:14" x14ac:dyDescent="0.25">
      <c r="N2546" s="70"/>
    </row>
    <row r="2547" spans="14:14" x14ac:dyDescent="0.25">
      <c r="N2547" s="70"/>
    </row>
    <row r="2548" spans="14:14" x14ac:dyDescent="0.25">
      <c r="N2548" s="70"/>
    </row>
    <row r="2549" spans="14:14" x14ac:dyDescent="0.25">
      <c r="N2549" s="70"/>
    </row>
    <row r="2550" spans="14:14" x14ac:dyDescent="0.25">
      <c r="N2550" s="70"/>
    </row>
    <row r="2551" spans="14:14" x14ac:dyDescent="0.25">
      <c r="N2551" s="70"/>
    </row>
    <row r="2552" spans="14:14" x14ac:dyDescent="0.25">
      <c r="N2552" s="70"/>
    </row>
    <row r="2553" spans="14:14" x14ac:dyDescent="0.25">
      <c r="N2553" s="70"/>
    </row>
    <row r="2554" spans="14:14" x14ac:dyDescent="0.25">
      <c r="N2554" s="70"/>
    </row>
    <row r="2555" spans="14:14" x14ac:dyDescent="0.25">
      <c r="N2555" s="70"/>
    </row>
    <row r="2556" spans="14:14" x14ac:dyDescent="0.25">
      <c r="N2556" s="70"/>
    </row>
    <row r="2557" spans="14:14" x14ac:dyDescent="0.25">
      <c r="N2557" s="70"/>
    </row>
    <row r="2558" spans="14:14" x14ac:dyDescent="0.25">
      <c r="N2558" s="70"/>
    </row>
    <row r="2559" spans="14:14" x14ac:dyDescent="0.25">
      <c r="N2559" s="70"/>
    </row>
    <row r="2560" spans="14:14" x14ac:dyDescent="0.25">
      <c r="N2560" s="70"/>
    </row>
    <row r="2561" spans="14:14" x14ac:dyDescent="0.25">
      <c r="N2561" s="70"/>
    </row>
    <row r="2562" spans="14:14" x14ac:dyDescent="0.25">
      <c r="N2562" s="70"/>
    </row>
    <row r="2563" spans="14:14" x14ac:dyDescent="0.25">
      <c r="N2563" s="70"/>
    </row>
    <row r="2564" spans="14:14" x14ac:dyDescent="0.25">
      <c r="N2564" s="70"/>
    </row>
    <row r="2565" spans="14:14" x14ac:dyDescent="0.25">
      <c r="N2565" s="70"/>
    </row>
    <row r="2566" spans="14:14" x14ac:dyDescent="0.25">
      <c r="N2566" s="70"/>
    </row>
    <row r="2567" spans="14:14" x14ac:dyDescent="0.25">
      <c r="N2567" s="70"/>
    </row>
    <row r="2568" spans="14:14" x14ac:dyDescent="0.25">
      <c r="N2568" s="70"/>
    </row>
    <row r="2569" spans="14:14" x14ac:dyDescent="0.25">
      <c r="N2569" s="70"/>
    </row>
    <row r="2570" spans="14:14" x14ac:dyDescent="0.25">
      <c r="N2570" s="70"/>
    </row>
    <row r="2571" spans="14:14" x14ac:dyDescent="0.25">
      <c r="N2571" s="70"/>
    </row>
    <row r="2572" spans="14:14" x14ac:dyDescent="0.25">
      <c r="N2572" s="70"/>
    </row>
    <row r="2573" spans="14:14" x14ac:dyDescent="0.25">
      <c r="N2573" s="70"/>
    </row>
    <row r="2574" spans="14:14" x14ac:dyDescent="0.25">
      <c r="N2574" s="70"/>
    </row>
    <row r="2575" spans="14:14" x14ac:dyDescent="0.25">
      <c r="N2575" s="70"/>
    </row>
    <row r="2576" spans="14:14" x14ac:dyDescent="0.25">
      <c r="N2576" s="70"/>
    </row>
    <row r="2577" spans="14:14" x14ac:dyDescent="0.25">
      <c r="N2577" s="70"/>
    </row>
    <row r="2578" spans="14:14" x14ac:dyDescent="0.25">
      <c r="N2578" s="70"/>
    </row>
    <row r="2579" spans="14:14" x14ac:dyDescent="0.25">
      <c r="N2579" s="70"/>
    </row>
    <row r="2580" spans="14:14" x14ac:dyDescent="0.25">
      <c r="N2580" s="70"/>
    </row>
    <row r="2581" spans="14:14" x14ac:dyDescent="0.25">
      <c r="N2581" s="70"/>
    </row>
    <row r="2582" spans="14:14" x14ac:dyDescent="0.25">
      <c r="N2582" s="70"/>
    </row>
    <row r="2583" spans="14:14" x14ac:dyDescent="0.25">
      <c r="N2583" s="70"/>
    </row>
    <row r="2584" spans="14:14" x14ac:dyDescent="0.25">
      <c r="N2584" s="70"/>
    </row>
    <row r="2585" spans="14:14" x14ac:dyDescent="0.25">
      <c r="N2585" s="70"/>
    </row>
    <row r="2586" spans="14:14" x14ac:dyDescent="0.25">
      <c r="N2586" s="70"/>
    </row>
    <row r="2587" spans="14:14" x14ac:dyDescent="0.25">
      <c r="N2587" s="70"/>
    </row>
    <row r="2588" spans="14:14" x14ac:dyDescent="0.25">
      <c r="N2588" s="70"/>
    </row>
    <row r="2589" spans="14:14" x14ac:dyDescent="0.25">
      <c r="N2589" s="70"/>
    </row>
    <row r="2590" spans="14:14" x14ac:dyDescent="0.25">
      <c r="N2590" s="70"/>
    </row>
    <row r="2591" spans="14:14" x14ac:dyDescent="0.25">
      <c r="N2591" s="70"/>
    </row>
    <row r="2592" spans="14:14" x14ac:dyDescent="0.25">
      <c r="N2592" s="70"/>
    </row>
    <row r="2593" spans="14:14" x14ac:dyDescent="0.25">
      <c r="N2593" s="70"/>
    </row>
    <row r="2594" spans="14:14" x14ac:dyDescent="0.25">
      <c r="N2594" s="70"/>
    </row>
    <row r="2595" spans="14:14" x14ac:dyDescent="0.25">
      <c r="N2595" s="70"/>
    </row>
    <row r="2596" spans="14:14" x14ac:dyDescent="0.25">
      <c r="N2596" s="70"/>
    </row>
    <row r="2597" spans="14:14" x14ac:dyDescent="0.25">
      <c r="N2597" s="70"/>
    </row>
    <row r="2598" spans="14:14" x14ac:dyDescent="0.25">
      <c r="N2598" s="70"/>
    </row>
    <row r="2599" spans="14:14" x14ac:dyDescent="0.25">
      <c r="N2599" s="70"/>
    </row>
    <row r="2600" spans="14:14" x14ac:dyDescent="0.25">
      <c r="N2600" s="70"/>
    </row>
    <row r="2601" spans="14:14" x14ac:dyDescent="0.25">
      <c r="N2601" s="70"/>
    </row>
    <row r="2602" spans="14:14" x14ac:dyDescent="0.25">
      <c r="N2602" s="70"/>
    </row>
    <row r="2603" spans="14:14" x14ac:dyDescent="0.25">
      <c r="N2603" s="70"/>
    </row>
    <row r="2604" spans="14:14" x14ac:dyDescent="0.25">
      <c r="N2604" s="70"/>
    </row>
    <row r="2605" spans="14:14" x14ac:dyDescent="0.25">
      <c r="N2605" s="70"/>
    </row>
    <row r="2606" spans="14:14" x14ac:dyDescent="0.25">
      <c r="N2606" s="70"/>
    </row>
    <row r="2607" spans="14:14" x14ac:dyDescent="0.25">
      <c r="N2607" s="70"/>
    </row>
    <row r="2608" spans="14:14" x14ac:dyDescent="0.25">
      <c r="N2608" s="70"/>
    </row>
    <row r="2609" spans="14:14" x14ac:dyDescent="0.25">
      <c r="N2609" s="70"/>
    </row>
    <row r="2610" spans="14:14" x14ac:dyDescent="0.25">
      <c r="N2610" s="70"/>
    </row>
    <row r="2611" spans="14:14" x14ac:dyDescent="0.25">
      <c r="N2611" s="70"/>
    </row>
    <row r="2612" spans="14:14" x14ac:dyDescent="0.25">
      <c r="N2612" s="70"/>
    </row>
    <row r="2613" spans="14:14" x14ac:dyDescent="0.25">
      <c r="N2613" s="70"/>
    </row>
    <row r="2614" spans="14:14" x14ac:dyDescent="0.25">
      <c r="N2614" s="70"/>
    </row>
    <row r="2615" spans="14:14" x14ac:dyDescent="0.25">
      <c r="N2615" s="70"/>
    </row>
    <row r="2616" spans="14:14" x14ac:dyDescent="0.25">
      <c r="N2616" s="70"/>
    </row>
    <row r="2617" spans="14:14" x14ac:dyDescent="0.25">
      <c r="N2617" s="70"/>
    </row>
    <row r="2618" spans="14:14" x14ac:dyDescent="0.25">
      <c r="N2618" s="70"/>
    </row>
    <row r="2619" spans="14:14" x14ac:dyDescent="0.25">
      <c r="N2619" s="70"/>
    </row>
    <row r="2620" spans="14:14" x14ac:dyDescent="0.25">
      <c r="N2620" s="70"/>
    </row>
    <row r="2621" spans="14:14" x14ac:dyDescent="0.25">
      <c r="N2621" s="70"/>
    </row>
    <row r="2622" spans="14:14" x14ac:dyDescent="0.25">
      <c r="N2622" s="70"/>
    </row>
    <row r="2623" spans="14:14" x14ac:dyDescent="0.25">
      <c r="N2623" s="70"/>
    </row>
    <row r="2624" spans="14:14" x14ac:dyDescent="0.25">
      <c r="N2624" s="70"/>
    </row>
    <row r="2625" spans="14:14" x14ac:dyDescent="0.25">
      <c r="N2625" s="70"/>
    </row>
    <row r="2626" spans="14:14" x14ac:dyDescent="0.25">
      <c r="N2626" s="70"/>
    </row>
    <row r="2627" spans="14:14" x14ac:dyDescent="0.25">
      <c r="N2627" s="70"/>
    </row>
    <row r="2628" spans="14:14" x14ac:dyDescent="0.25">
      <c r="N2628" s="70"/>
    </row>
    <row r="2629" spans="14:14" x14ac:dyDescent="0.25">
      <c r="N2629" s="70"/>
    </row>
    <row r="2630" spans="14:14" x14ac:dyDescent="0.25">
      <c r="N2630" s="70"/>
    </row>
    <row r="2631" spans="14:14" x14ac:dyDescent="0.25">
      <c r="N2631" s="70"/>
    </row>
    <row r="2632" spans="14:14" x14ac:dyDescent="0.25">
      <c r="N2632" s="70"/>
    </row>
    <row r="2633" spans="14:14" x14ac:dyDescent="0.25">
      <c r="N2633" s="70"/>
    </row>
    <row r="2634" spans="14:14" x14ac:dyDescent="0.25">
      <c r="N2634" s="70"/>
    </row>
    <row r="2635" spans="14:14" x14ac:dyDescent="0.25">
      <c r="N2635" s="70"/>
    </row>
    <row r="2636" spans="14:14" x14ac:dyDescent="0.25">
      <c r="N2636" s="70"/>
    </row>
    <row r="2637" spans="14:14" x14ac:dyDescent="0.25">
      <c r="N2637" s="70"/>
    </row>
    <row r="2638" spans="14:14" x14ac:dyDescent="0.25">
      <c r="N2638" s="70"/>
    </row>
    <row r="2639" spans="14:14" x14ac:dyDescent="0.25">
      <c r="N2639" s="70"/>
    </row>
    <row r="2640" spans="14:14" x14ac:dyDescent="0.25">
      <c r="N2640" s="70"/>
    </row>
    <row r="2641" spans="14:14" x14ac:dyDescent="0.25">
      <c r="N2641" s="70"/>
    </row>
    <row r="2642" spans="14:14" x14ac:dyDescent="0.25">
      <c r="N2642" s="70"/>
    </row>
    <row r="2643" spans="14:14" x14ac:dyDescent="0.25">
      <c r="N2643" s="70"/>
    </row>
    <row r="2644" spans="14:14" x14ac:dyDescent="0.25">
      <c r="N2644" s="70"/>
    </row>
    <row r="2645" spans="14:14" x14ac:dyDescent="0.25">
      <c r="N2645" s="70"/>
    </row>
    <row r="2646" spans="14:14" x14ac:dyDescent="0.25">
      <c r="N2646" s="70"/>
    </row>
    <row r="2647" spans="14:14" x14ac:dyDescent="0.25">
      <c r="N2647" s="70"/>
    </row>
    <row r="2648" spans="14:14" x14ac:dyDescent="0.25">
      <c r="N2648" s="70"/>
    </row>
    <row r="2649" spans="14:14" x14ac:dyDescent="0.25">
      <c r="N2649" s="70"/>
    </row>
    <row r="2650" spans="14:14" x14ac:dyDescent="0.25">
      <c r="N2650" s="70"/>
    </row>
    <row r="2651" spans="14:14" x14ac:dyDescent="0.25">
      <c r="N2651" s="70"/>
    </row>
    <row r="2652" spans="14:14" x14ac:dyDescent="0.25">
      <c r="N2652" s="70"/>
    </row>
    <row r="2653" spans="14:14" x14ac:dyDescent="0.25">
      <c r="N2653" s="70"/>
    </row>
    <row r="2654" spans="14:14" x14ac:dyDescent="0.25">
      <c r="N2654" s="70"/>
    </row>
    <row r="2655" spans="14:14" x14ac:dyDescent="0.25">
      <c r="N2655" s="70"/>
    </row>
    <row r="2656" spans="14:14" x14ac:dyDescent="0.25">
      <c r="N2656" s="70"/>
    </row>
    <row r="2657" spans="14:14" x14ac:dyDescent="0.25">
      <c r="N2657" s="70"/>
    </row>
    <row r="2658" spans="14:14" x14ac:dyDescent="0.25">
      <c r="N2658" s="70"/>
    </row>
    <row r="2659" spans="14:14" x14ac:dyDescent="0.25">
      <c r="N2659" s="70"/>
    </row>
    <row r="2660" spans="14:14" x14ac:dyDescent="0.25">
      <c r="N2660" s="70"/>
    </row>
    <row r="2661" spans="14:14" x14ac:dyDescent="0.25">
      <c r="N2661" s="70"/>
    </row>
    <row r="2662" spans="14:14" x14ac:dyDescent="0.25">
      <c r="N2662" s="70"/>
    </row>
    <row r="2663" spans="14:14" x14ac:dyDescent="0.25">
      <c r="N2663" s="70"/>
    </row>
    <row r="2664" spans="14:14" x14ac:dyDescent="0.25">
      <c r="N2664" s="70"/>
    </row>
    <row r="2665" spans="14:14" x14ac:dyDescent="0.25">
      <c r="N2665" s="70"/>
    </row>
    <row r="2666" spans="14:14" x14ac:dyDescent="0.25">
      <c r="N2666" s="70"/>
    </row>
    <row r="2667" spans="14:14" x14ac:dyDescent="0.25">
      <c r="N2667" s="70"/>
    </row>
    <row r="2668" spans="14:14" x14ac:dyDescent="0.25">
      <c r="N2668" s="70"/>
    </row>
    <row r="2669" spans="14:14" x14ac:dyDescent="0.25">
      <c r="N2669" s="70"/>
    </row>
    <row r="2670" spans="14:14" x14ac:dyDescent="0.25">
      <c r="N2670" s="70"/>
    </row>
    <row r="2671" spans="14:14" x14ac:dyDescent="0.25">
      <c r="N2671" s="70"/>
    </row>
    <row r="2672" spans="14:14" x14ac:dyDescent="0.25">
      <c r="N2672" s="70"/>
    </row>
    <row r="2673" spans="14:14" x14ac:dyDescent="0.25">
      <c r="N2673" s="70"/>
    </row>
    <row r="2674" spans="14:14" x14ac:dyDescent="0.25">
      <c r="N2674" s="70"/>
    </row>
    <row r="2675" spans="14:14" x14ac:dyDescent="0.25">
      <c r="N2675" s="70"/>
    </row>
    <row r="2676" spans="14:14" x14ac:dyDescent="0.25">
      <c r="N2676" s="70"/>
    </row>
    <row r="2677" spans="14:14" x14ac:dyDescent="0.25">
      <c r="N2677" s="70"/>
    </row>
    <row r="2678" spans="14:14" x14ac:dyDescent="0.25">
      <c r="N2678" s="70"/>
    </row>
    <row r="2679" spans="14:14" x14ac:dyDescent="0.25">
      <c r="N2679" s="70"/>
    </row>
    <row r="2680" spans="14:14" x14ac:dyDescent="0.25">
      <c r="N2680" s="70"/>
    </row>
    <row r="2681" spans="14:14" x14ac:dyDescent="0.25">
      <c r="N2681" s="70"/>
    </row>
    <row r="2682" spans="14:14" x14ac:dyDescent="0.25">
      <c r="N2682" s="70"/>
    </row>
    <row r="2683" spans="14:14" x14ac:dyDescent="0.25">
      <c r="N2683" s="70"/>
    </row>
    <row r="2684" spans="14:14" x14ac:dyDescent="0.25">
      <c r="N2684" s="70"/>
    </row>
    <row r="2685" spans="14:14" x14ac:dyDescent="0.25">
      <c r="N2685" s="70"/>
    </row>
    <row r="2686" spans="14:14" x14ac:dyDescent="0.25">
      <c r="N2686" s="70"/>
    </row>
    <row r="2687" spans="14:14" x14ac:dyDescent="0.25">
      <c r="N2687" s="70"/>
    </row>
    <row r="2688" spans="14:14" x14ac:dyDescent="0.25">
      <c r="N2688" s="70"/>
    </row>
    <row r="2689" spans="14:14" x14ac:dyDescent="0.25">
      <c r="N2689" s="70"/>
    </row>
    <row r="2690" spans="14:14" x14ac:dyDescent="0.25">
      <c r="N2690" s="70"/>
    </row>
    <row r="2691" spans="14:14" x14ac:dyDescent="0.25">
      <c r="N2691" s="70"/>
    </row>
    <row r="2692" spans="14:14" x14ac:dyDescent="0.25">
      <c r="N2692" s="70"/>
    </row>
    <row r="2693" spans="14:14" x14ac:dyDescent="0.25">
      <c r="N2693" s="70"/>
    </row>
    <row r="2694" spans="14:14" x14ac:dyDescent="0.25">
      <c r="N2694" s="70"/>
    </row>
    <row r="2695" spans="14:14" x14ac:dyDescent="0.25">
      <c r="N2695" s="70"/>
    </row>
    <row r="2696" spans="14:14" x14ac:dyDescent="0.25">
      <c r="N2696" s="70"/>
    </row>
    <row r="2697" spans="14:14" x14ac:dyDescent="0.25">
      <c r="N2697" s="70"/>
    </row>
    <row r="2698" spans="14:14" x14ac:dyDescent="0.25">
      <c r="N2698" s="70"/>
    </row>
    <row r="2699" spans="14:14" x14ac:dyDescent="0.25">
      <c r="N2699" s="70"/>
    </row>
    <row r="2700" spans="14:14" x14ac:dyDescent="0.25">
      <c r="N2700" s="70"/>
    </row>
    <row r="2701" spans="14:14" x14ac:dyDescent="0.25">
      <c r="N2701" s="70"/>
    </row>
    <row r="2702" spans="14:14" x14ac:dyDescent="0.25">
      <c r="N2702" s="70"/>
    </row>
    <row r="2703" spans="14:14" x14ac:dyDescent="0.25">
      <c r="N2703" s="70"/>
    </row>
    <row r="2704" spans="14:14" x14ac:dyDescent="0.25">
      <c r="N2704" s="70"/>
    </row>
    <row r="2705" spans="14:14" x14ac:dyDescent="0.25">
      <c r="N2705" s="70"/>
    </row>
    <row r="2706" spans="14:14" x14ac:dyDescent="0.25">
      <c r="N2706" s="70"/>
    </row>
    <row r="2707" spans="14:14" x14ac:dyDescent="0.25">
      <c r="N2707" s="70"/>
    </row>
    <row r="2708" spans="14:14" x14ac:dyDescent="0.25">
      <c r="N2708" s="70"/>
    </row>
    <row r="2709" spans="14:14" x14ac:dyDescent="0.25">
      <c r="N2709" s="70"/>
    </row>
    <row r="2710" spans="14:14" x14ac:dyDescent="0.25">
      <c r="N2710" s="70"/>
    </row>
    <row r="2711" spans="14:14" x14ac:dyDescent="0.25">
      <c r="N2711" s="70"/>
    </row>
    <row r="2712" spans="14:14" x14ac:dyDescent="0.25">
      <c r="N2712" s="70"/>
    </row>
    <row r="2713" spans="14:14" x14ac:dyDescent="0.25">
      <c r="N2713" s="70"/>
    </row>
    <row r="2714" spans="14:14" x14ac:dyDescent="0.25">
      <c r="N2714" s="70"/>
    </row>
    <row r="2715" spans="14:14" x14ac:dyDescent="0.25">
      <c r="N2715" s="70"/>
    </row>
    <row r="2716" spans="14:14" x14ac:dyDescent="0.25">
      <c r="N2716" s="70"/>
    </row>
    <row r="2717" spans="14:14" x14ac:dyDescent="0.25">
      <c r="N2717" s="70"/>
    </row>
    <row r="2718" spans="14:14" x14ac:dyDescent="0.25">
      <c r="N2718" s="70"/>
    </row>
    <row r="2719" spans="14:14" x14ac:dyDescent="0.25">
      <c r="N2719" s="70"/>
    </row>
    <row r="2720" spans="14:14" x14ac:dyDescent="0.25">
      <c r="N2720" s="70"/>
    </row>
    <row r="2721" spans="14:14" x14ac:dyDescent="0.25">
      <c r="N2721" s="70"/>
    </row>
    <row r="2722" spans="14:14" x14ac:dyDescent="0.25">
      <c r="N2722" s="70"/>
    </row>
    <row r="2723" spans="14:14" x14ac:dyDescent="0.25">
      <c r="N2723" s="70"/>
    </row>
    <row r="2724" spans="14:14" x14ac:dyDescent="0.25">
      <c r="N2724" s="70"/>
    </row>
    <row r="2725" spans="14:14" x14ac:dyDescent="0.25">
      <c r="N2725" s="70"/>
    </row>
    <row r="2726" spans="14:14" x14ac:dyDescent="0.25">
      <c r="N2726" s="70"/>
    </row>
    <row r="2727" spans="14:14" x14ac:dyDescent="0.25">
      <c r="N2727" s="70"/>
    </row>
    <row r="2728" spans="14:14" x14ac:dyDescent="0.25">
      <c r="N2728" s="70"/>
    </row>
    <row r="2729" spans="14:14" x14ac:dyDescent="0.25">
      <c r="N2729" s="70"/>
    </row>
    <row r="2730" spans="14:14" x14ac:dyDescent="0.25">
      <c r="N2730" s="70"/>
    </row>
    <row r="2731" spans="14:14" x14ac:dyDescent="0.25">
      <c r="N2731" s="70"/>
    </row>
    <row r="2732" spans="14:14" x14ac:dyDescent="0.25">
      <c r="N2732" s="70"/>
    </row>
    <row r="2733" spans="14:14" x14ac:dyDescent="0.25">
      <c r="N2733" s="70"/>
    </row>
    <row r="2734" spans="14:14" x14ac:dyDescent="0.25">
      <c r="N2734" s="70"/>
    </row>
    <row r="2735" spans="14:14" x14ac:dyDescent="0.25">
      <c r="N2735" s="70"/>
    </row>
    <row r="2736" spans="14:14" x14ac:dyDescent="0.25">
      <c r="N2736" s="70"/>
    </row>
    <row r="2737" spans="14:14" x14ac:dyDescent="0.25">
      <c r="N2737" s="70"/>
    </row>
    <row r="2738" spans="14:14" x14ac:dyDescent="0.25">
      <c r="N2738" s="70"/>
    </row>
    <row r="2739" spans="14:14" x14ac:dyDescent="0.25">
      <c r="N2739" s="70"/>
    </row>
    <row r="2740" spans="14:14" x14ac:dyDescent="0.25">
      <c r="N2740" s="70"/>
    </row>
    <row r="2741" spans="14:14" x14ac:dyDescent="0.25">
      <c r="N2741" s="70"/>
    </row>
    <row r="2742" spans="14:14" x14ac:dyDescent="0.25">
      <c r="N2742" s="70"/>
    </row>
    <row r="2743" spans="14:14" x14ac:dyDescent="0.25">
      <c r="N2743" s="70"/>
    </row>
    <row r="2744" spans="14:14" x14ac:dyDescent="0.25">
      <c r="N2744" s="70"/>
    </row>
    <row r="2745" spans="14:14" x14ac:dyDescent="0.25">
      <c r="N2745" s="70"/>
    </row>
    <row r="2746" spans="14:14" x14ac:dyDescent="0.25">
      <c r="N2746" s="70"/>
    </row>
    <row r="2747" spans="14:14" x14ac:dyDescent="0.25">
      <c r="N2747" s="70"/>
    </row>
    <row r="2748" spans="14:14" x14ac:dyDescent="0.25">
      <c r="N2748" s="70"/>
    </row>
    <row r="2749" spans="14:14" x14ac:dyDescent="0.25">
      <c r="N2749" s="70"/>
    </row>
    <row r="2750" spans="14:14" x14ac:dyDescent="0.25">
      <c r="N2750" s="70"/>
    </row>
    <row r="2751" spans="14:14" x14ac:dyDescent="0.25">
      <c r="N2751" s="70"/>
    </row>
    <row r="2752" spans="14:14" x14ac:dyDescent="0.25">
      <c r="N2752" s="70"/>
    </row>
    <row r="2753" spans="14:14" x14ac:dyDescent="0.25">
      <c r="N2753" s="70"/>
    </row>
    <row r="2754" spans="14:14" x14ac:dyDescent="0.25">
      <c r="N2754" s="70"/>
    </row>
    <row r="2755" spans="14:14" x14ac:dyDescent="0.25">
      <c r="N2755" s="70"/>
    </row>
    <row r="2756" spans="14:14" x14ac:dyDescent="0.25">
      <c r="N2756" s="70"/>
    </row>
    <row r="2757" spans="14:14" x14ac:dyDescent="0.25">
      <c r="N2757" s="70"/>
    </row>
    <row r="2758" spans="14:14" x14ac:dyDescent="0.25">
      <c r="N2758" s="70"/>
    </row>
    <row r="2759" spans="14:14" x14ac:dyDescent="0.25">
      <c r="N2759" s="70"/>
    </row>
    <row r="2760" spans="14:14" x14ac:dyDescent="0.25">
      <c r="N2760" s="70"/>
    </row>
    <row r="2761" spans="14:14" x14ac:dyDescent="0.25">
      <c r="N2761" s="70"/>
    </row>
    <row r="2762" spans="14:14" x14ac:dyDescent="0.25">
      <c r="N2762" s="70"/>
    </row>
    <row r="2763" spans="14:14" x14ac:dyDescent="0.25">
      <c r="N2763" s="70"/>
    </row>
    <row r="2764" spans="14:14" x14ac:dyDescent="0.25">
      <c r="N2764" s="70"/>
    </row>
    <row r="2765" spans="14:14" x14ac:dyDescent="0.25">
      <c r="N2765" s="70"/>
    </row>
    <row r="2766" spans="14:14" x14ac:dyDescent="0.25">
      <c r="N2766" s="70"/>
    </row>
    <row r="2767" spans="14:14" x14ac:dyDescent="0.25">
      <c r="N2767" s="70"/>
    </row>
    <row r="2768" spans="14:14" x14ac:dyDescent="0.25">
      <c r="N2768" s="70"/>
    </row>
    <row r="2769" spans="14:14" x14ac:dyDescent="0.25">
      <c r="N2769" s="70"/>
    </row>
    <row r="2770" spans="14:14" x14ac:dyDescent="0.25">
      <c r="N2770" s="70"/>
    </row>
    <row r="2771" spans="14:14" x14ac:dyDescent="0.25">
      <c r="N2771" s="70"/>
    </row>
    <row r="2772" spans="14:14" x14ac:dyDescent="0.25">
      <c r="N2772" s="70"/>
    </row>
    <row r="2773" spans="14:14" x14ac:dyDescent="0.25">
      <c r="N2773" s="70"/>
    </row>
    <row r="2774" spans="14:14" x14ac:dyDescent="0.25">
      <c r="N2774" s="70"/>
    </row>
    <row r="2775" spans="14:14" x14ac:dyDescent="0.25">
      <c r="N2775" s="70"/>
    </row>
    <row r="2776" spans="14:14" x14ac:dyDescent="0.25">
      <c r="N2776" s="70"/>
    </row>
    <row r="2777" spans="14:14" x14ac:dyDescent="0.25">
      <c r="N2777" s="70"/>
    </row>
    <row r="2778" spans="14:14" x14ac:dyDescent="0.25">
      <c r="N2778" s="70"/>
    </row>
    <row r="2779" spans="14:14" x14ac:dyDescent="0.25">
      <c r="N2779" s="70"/>
    </row>
    <row r="2780" spans="14:14" x14ac:dyDescent="0.25">
      <c r="N2780" s="70"/>
    </row>
    <row r="2781" spans="14:14" x14ac:dyDescent="0.25">
      <c r="N2781" s="70"/>
    </row>
    <row r="2782" spans="14:14" x14ac:dyDescent="0.25">
      <c r="N2782" s="70"/>
    </row>
    <row r="2783" spans="14:14" x14ac:dyDescent="0.25">
      <c r="N2783" s="70"/>
    </row>
    <row r="2784" spans="14:14" x14ac:dyDescent="0.25">
      <c r="N2784" s="70"/>
    </row>
    <row r="2785" spans="14:14" x14ac:dyDescent="0.25">
      <c r="N2785" s="70"/>
    </row>
    <row r="2786" spans="14:14" x14ac:dyDescent="0.25">
      <c r="N2786" s="70"/>
    </row>
    <row r="2787" spans="14:14" x14ac:dyDescent="0.25">
      <c r="N2787" s="70"/>
    </row>
    <row r="2788" spans="14:14" x14ac:dyDescent="0.25">
      <c r="N2788" s="70"/>
    </row>
    <row r="2789" spans="14:14" x14ac:dyDescent="0.25">
      <c r="N2789" s="70"/>
    </row>
    <row r="2790" spans="14:14" x14ac:dyDescent="0.25">
      <c r="N2790" s="70"/>
    </row>
    <row r="2791" spans="14:14" x14ac:dyDescent="0.25">
      <c r="N2791" s="70"/>
    </row>
    <row r="2792" spans="14:14" x14ac:dyDescent="0.25">
      <c r="N2792" s="70"/>
    </row>
    <row r="2793" spans="14:14" x14ac:dyDescent="0.25">
      <c r="N2793" s="70"/>
    </row>
    <row r="2794" spans="14:14" x14ac:dyDescent="0.25">
      <c r="N2794" s="70"/>
    </row>
    <row r="2795" spans="14:14" x14ac:dyDescent="0.25">
      <c r="N2795" s="70"/>
    </row>
    <row r="2796" spans="14:14" x14ac:dyDescent="0.25">
      <c r="N2796" s="70"/>
    </row>
    <row r="2797" spans="14:14" x14ac:dyDescent="0.25">
      <c r="N2797" s="70"/>
    </row>
    <row r="2798" spans="14:14" x14ac:dyDescent="0.25">
      <c r="N2798" s="70"/>
    </row>
    <row r="2799" spans="14:14" x14ac:dyDescent="0.25">
      <c r="N2799" s="70"/>
    </row>
    <row r="2800" spans="14:14" x14ac:dyDescent="0.25">
      <c r="N2800" s="70"/>
    </row>
    <row r="2801" spans="14:14" x14ac:dyDescent="0.25">
      <c r="N2801" s="70"/>
    </row>
    <row r="2802" spans="14:14" x14ac:dyDescent="0.25">
      <c r="N2802" s="70"/>
    </row>
    <row r="2803" spans="14:14" x14ac:dyDescent="0.25">
      <c r="N2803" s="70"/>
    </row>
    <row r="2804" spans="14:14" x14ac:dyDescent="0.25">
      <c r="N2804" s="70"/>
    </row>
    <row r="2805" spans="14:14" x14ac:dyDescent="0.25">
      <c r="N2805" s="70"/>
    </row>
    <row r="2806" spans="14:14" x14ac:dyDescent="0.25">
      <c r="N2806" s="70"/>
    </row>
    <row r="2807" spans="14:14" x14ac:dyDescent="0.25">
      <c r="N2807" s="70"/>
    </row>
    <row r="2808" spans="14:14" x14ac:dyDescent="0.25">
      <c r="N2808" s="70"/>
    </row>
    <row r="2809" spans="14:14" x14ac:dyDescent="0.25">
      <c r="N2809" s="70"/>
    </row>
    <row r="2810" spans="14:14" x14ac:dyDescent="0.25">
      <c r="N2810" s="70"/>
    </row>
    <row r="2811" spans="14:14" x14ac:dyDescent="0.25">
      <c r="N2811" s="70"/>
    </row>
    <row r="2812" spans="14:14" x14ac:dyDescent="0.25">
      <c r="N2812" s="70"/>
    </row>
    <row r="2813" spans="14:14" x14ac:dyDescent="0.25">
      <c r="N2813" s="70"/>
    </row>
    <row r="2814" spans="14:14" x14ac:dyDescent="0.25">
      <c r="N2814" s="70"/>
    </row>
    <row r="2815" spans="14:14" x14ac:dyDescent="0.25">
      <c r="N2815" s="70"/>
    </row>
    <row r="2816" spans="14:14" x14ac:dyDescent="0.25">
      <c r="N2816" s="70"/>
    </row>
    <row r="2817" spans="14:14" x14ac:dyDescent="0.25">
      <c r="N2817" s="70"/>
    </row>
    <row r="2818" spans="14:14" x14ac:dyDescent="0.25">
      <c r="N2818" s="70"/>
    </row>
    <row r="2819" spans="14:14" x14ac:dyDescent="0.25">
      <c r="N2819" s="70"/>
    </row>
    <row r="2820" spans="14:14" x14ac:dyDescent="0.25">
      <c r="N2820" s="70"/>
    </row>
    <row r="2821" spans="14:14" x14ac:dyDescent="0.25">
      <c r="N2821" s="70"/>
    </row>
    <row r="2822" spans="14:14" x14ac:dyDescent="0.25">
      <c r="N2822" s="70"/>
    </row>
    <row r="2823" spans="14:14" x14ac:dyDescent="0.25">
      <c r="N2823" s="70"/>
    </row>
    <row r="2824" spans="14:14" x14ac:dyDescent="0.25">
      <c r="N2824" s="70"/>
    </row>
    <row r="2825" spans="14:14" x14ac:dyDescent="0.25">
      <c r="N2825" s="70"/>
    </row>
    <row r="2826" spans="14:14" x14ac:dyDescent="0.25">
      <c r="N2826" s="70"/>
    </row>
    <row r="2827" spans="14:14" x14ac:dyDescent="0.25">
      <c r="N2827" s="70"/>
    </row>
    <row r="2828" spans="14:14" x14ac:dyDescent="0.25">
      <c r="N2828" s="70"/>
    </row>
    <row r="2829" spans="14:14" x14ac:dyDescent="0.25">
      <c r="N2829" s="70"/>
    </row>
    <row r="2830" spans="14:14" x14ac:dyDescent="0.25">
      <c r="N2830" s="70"/>
    </row>
    <row r="2831" spans="14:14" x14ac:dyDescent="0.25">
      <c r="N2831" s="70"/>
    </row>
    <row r="2832" spans="14:14" x14ac:dyDescent="0.25">
      <c r="N2832" s="70"/>
    </row>
    <row r="2833" spans="14:14" x14ac:dyDescent="0.25">
      <c r="N2833" s="70"/>
    </row>
    <row r="2834" spans="14:14" x14ac:dyDescent="0.25">
      <c r="N2834" s="70"/>
    </row>
    <row r="2835" spans="14:14" x14ac:dyDescent="0.25">
      <c r="N2835" s="70"/>
    </row>
    <row r="2836" spans="14:14" x14ac:dyDescent="0.25">
      <c r="N2836" s="70"/>
    </row>
    <row r="2837" spans="14:14" x14ac:dyDescent="0.25">
      <c r="N2837" s="70"/>
    </row>
    <row r="2838" spans="14:14" x14ac:dyDescent="0.25">
      <c r="N2838" s="70"/>
    </row>
    <row r="2839" spans="14:14" x14ac:dyDescent="0.25">
      <c r="N2839" s="70"/>
    </row>
    <row r="2840" spans="14:14" x14ac:dyDescent="0.25">
      <c r="N2840" s="70"/>
    </row>
    <row r="2841" spans="14:14" x14ac:dyDescent="0.25">
      <c r="N2841" s="70"/>
    </row>
    <row r="2842" spans="14:14" x14ac:dyDescent="0.25">
      <c r="N2842" s="70"/>
    </row>
    <row r="2843" spans="14:14" x14ac:dyDescent="0.25">
      <c r="N2843" s="70"/>
    </row>
    <row r="2844" spans="14:14" x14ac:dyDescent="0.25">
      <c r="N2844" s="70"/>
    </row>
    <row r="2845" spans="14:14" x14ac:dyDescent="0.25">
      <c r="N2845" s="70"/>
    </row>
    <row r="2846" spans="14:14" x14ac:dyDescent="0.25">
      <c r="N2846" s="70"/>
    </row>
    <row r="2847" spans="14:14" x14ac:dyDescent="0.25">
      <c r="N2847" s="70"/>
    </row>
    <row r="2848" spans="14:14" x14ac:dyDescent="0.25">
      <c r="N2848" s="70"/>
    </row>
    <row r="2849" spans="14:14" x14ac:dyDescent="0.25">
      <c r="N2849" s="70"/>
    </row>
    <row r="2850" spans="14:14" x14ac:dyDescent="0.25">
      <c r="N2850" s="70"/>
    </row>
    <row r="2851" spans="14:14" x14ac:dyDescent="0.25">
      <c r="N2851" s="70"/>
    </row>
    <row r="2852" spans="14:14" x14ac:dyDescent="0.25">
      <c r="N2852" s="70"/>
    </row>
    <row r="2853" spans="14:14" x14ac:dyDescent="0.25">
      <c r="N2853" s="70"/>
    </row>
    <row r="2854" spans="14:14" x14ac:dyDescent="0.25">
      <c r="N2854" s="70"/>
    </row>
    <row r="2855" spans="14:14" x14ac:dyDescent="0.25">
      <c r="N2855" s="70"/>
    </row>
    <row r="2856" spans="14:14" x14ac:dyDescent="0.25">
      <c r="N2856" s="70"/>
    </row>
    <row r="2857" spans="14:14" x14ac:dyDescent="0.25">
      <c r="N2857" s="70"/>
    </row>
    <row r="2858" spans="14:14" x14ac:dyDescent="0.25">
      <c r="N2858" s="70"/>
    </row>
    <row r="2859" spans="14:14" x14ac:dyDescent="0.25">
      <c r="N2859" s="70"/>
    </row>
    <row r="2860" spans="14:14" x14ac:dyDescent="0.25">
      <c r="N2860" s="70"/>
    </row>
    <row r="2861" spans="14:14" x14ac:dyDescent="0.25">
      <c r="N2861" s="70"/>
    </row>
    <row r="2862" spans="14:14" x14ac:dyDescent="0.25">
      <c r="N2862" s="70"/>
    </row>
    <row r="2863" spans="14:14" x14ac:dyDescent="0.25">
      <c r="N2863" s="70"/>
    </row>
    <row r="2864" spans="14:14" x14ac:dyDescent="0.25">
      <c r="N2864" s="70"/>
    </row>
    <row r="2865" spans="14:14" x14ac:dyDescent="0.25">
      <c r="N2865" s="70"/>
    </row>
    <row r="2866" spans="14:14" x14ac:dyDescent="0.25">
      <c r="N2866" s="70"/>
    </row>
    <row r="2867" spans="14:14" x14ac:dyDescent="0.25">
      <c r="N2867" s="70"/>
    </row>
    <row r="2868" spans="14:14" x14ac:dyDescent="0.25">
      <c r="N2868" s="70"/>
    </row>
    <row r="2869" spans="14:14" x14ac:dyDescent="0.25">
      <c r="N2869" s="70"/>
    </row>
    <row r="2870" spans="14:14" x14ac:dyDescent="0.25">
      <c r="N2870" s="70"/>
    </row>
    <row r="2871" spans="14:14" x14ac:dyDescent="0.25">
      <c r="N2871" s="70"/>
    </row>
    <row r="2872" spans="14:14" x14ac:dyDescent="0.25">
      <c r="N2872" s="70"/>
    </row>
    <row r="2873" spans="14:14" x14ac:dyDescent="0.25">
      <c r="N2873" s="70"/>
    </row>
    <row r="2874" spans="14:14" x14ac:dyDescent="0.25">
      <c r="N2874" s="70"/>
    </row>
    <row r="2875" spans="14:14" x14ac:dyDescent="0.25">
      <c r="N2875" s="70"/>
    </row>
    <row r="2876" spans="14:14" x14ac:dyDescent="0.25">
      <c r="N2876" s="70"/>
    </row>
    <row r="2877" spans="14:14" x14ac:dyDescent="0.25">
      <c r="N2877" s="70"/>
    </row>
    <row r="2878" spans="14:14" x14ac:dyDescent="0.25">
      <c r="N2878" s="70"/>
    </row>
    <row r="2879" spans="14:14" x14ac:dyDescent="0.25">
      <c r="N2879" s="70"/>
    </row>
    <row r="2880" spans="14:14" x14ac:dyDescent="0.25">
      <c r="N2880" s="70"/>
    </row>
    <row r="2881" spans="14:14" x14ac:dyDescent="0.25">
      <c r="N2881" s="70"/>
    </row>
    <row r="2882" spans="14:14" x14ac:dyDescent="0.25">
      <c r="N2882" s="70"/>
    </row>
    <row r="2883" spans="14:14" x14ac:dyDescent="0.25">
      <c r="N2883" s="70"/>
    </row>
    <row r="2884" spans="14:14" x14ac:dyDescent="0.25">
      <c r="N2884" s="70"/>
    </row>
    <row r="2885" spans="14:14" x14ac:dyDescent="0.25">
      <c r="N2885" s="70"/>
    </row>
    <row r="2886" spans="14:14" x14ac:dyDescent="0.25">
      <c r="N2886" s="70"/>
    </row>
    <row r="2887" spans="14:14" x14ac:dyDescent="0.25">
      <c r="N2887" s="70"/>
    </row>
    <row r="2888" spans="14:14" x14ac:dyDescent="0.25">
      <c r="N2888" s="70"/>
    </row>
    <row r="2889" spans="14:14" x14ac:dyDescent="0.25">
      <c r="N2889" s="70"/>
    </row>
    <row r="2890" spans="14:14" x14ac:dyDescent="0.25">
      <c r="N2890" s="70"/>
    </row>
    <row r="2891" spans="14:14" x14ac:dyDescent="0.25">
      <c r="N2891" s="70"/>
    </row>
    <row r="2892" spans="14:14" x14ac:dyDescent="0.25">
      <c r="N2892" s="70"/>
    </row>
    <row r="2893" spans="14:14" x14ac:dyDescent="0.25">
      <c r="N2893" s="70"/>
    </row>
    <row r="2894" spans="14:14" x14ac:dyDescent="0.25">
      <c r="N2894" s="70"/>
    </row>
    <row r="2895" spans="14:14" x14ac:dyDescent="0.25">
      <c r="N2895" s="70"/>
    </row>
    <row r="2896" spans="14:14" x14ac:dyDescent="0.25">
      <c r="N2896" s="70"/>
    </row>
    <row r="2897" spans="14:14" x14ac:dyDescent="0.25">
      <c r="N2897" s="70"/>
    </row>
    <row r="2898" spans="14:14" x14ac:dyDescent="0.25">
      <c r="N2898" s="70"/>
    </row>
    <row r="2899" spans="14:14" x14ac:dyDescent="0.25">
      <c r="N2899" s="70"/>
    </row>
    <row r="2900" spans="14:14" x14ac:dyDescent="0.25">
      <c r="N2900" s="70"/>
    </row>
    <row r="2901" spans="14:14" x14ac:dyDescent="0.25">
      <c r="N2901" s="70"/>
    </row>
    <row r="2902" spans="14:14" x14ac:dyDescent="0.25">
      <c r="N2902" s="70"/>
    </row>
    <row r="2903" spans="14:14" x14ac:dyDescent="0.25">
      <c r="N2903" s="70"/>
    </row>
    <row r="2904" spans="14:14" x14ac:dyDescent="0.25">
      <c r="N2904" s="70"/>
    </row>
    <row r="2905" spans="14:14" x14ac:dyDescent="0.25">
      <c r="N2905" s="70"/>
    </row>
    <row r="2906" spans="14:14" x14ac:dyDescent="0.25">
      <c r="N2906" s="70"/>
    </row>
    <row r="2907" spans="14:14" x14ac:dyDescent="0.25">
      <c r="N2907" s="70"/>
    </row>
    <row r="2908" spans="14:14" x14ac:dyDescent="0.25">
      <c r="N2908" s="70"/>
    </row>
    <row r="2909" spans="14:14" x14ac:dyDescent="0.25">
      <c r="N2909" s="70"/>
    </row>
    <row r="2910" spans="14:14" x14ac:dyDescent="0.25">
      <c r="N2910" s="70"/>
    </row>
    <row r="2911" spans="14:14" x14ac:dyDescent="0.25">
      <c r="N2911" s="70"/>
    </row>
    <row r="2912" spans="14:14" x14ac:dyDescent="0.25">
      <c r="N2912" s="70"/>
    </row>
    <row r="2913" spans="14:14" x14ac:dyDescent="0.25">
      <c r="N2913" s="70"/>
    </row>
    <row r="2914" spans="14:14" x14ac:dyDescent="0.25">
      <c r="N2914" s="70"/>
    </row>
    <row r="2915" spans="14:14" x14ac:dyDescent="0.25">
      <c r="N2915" s="70"/>
    </row>
    <row r="2916" spans="14:14" x14ac:dyDescent="0.25">
      <c r="N2916" s="70"/>
    </row>
    <row r="2917" spans="14:14" x14ac:dyDescent="0.25">
      <c r="N2917" s="70"/>
    </row>
    <row r="2918" spans="14:14" x14ac:dyDescent="0.25">
      <c r="N2918" s="70"/>
    </row>
    <row r="2919" spans="14:14" x14ac:dyDescent="0.25">
      <c r="N2919" s="70"/>
    </row>
    <row r="2920" spans="14:14" x14ac:dyDescent="0.25">
      <c r="N2920" s="70"/>
    </row>
    <row r="2921" spans="14:14" x14ac:dyDescent="0.25">
      <c r="N2921" s="70"/>
    </row>
    <row r="2922" spans="14:14" x14ac:dyDescent="0.25">
      <c r="N2922" s="70"/>
    </row>
    <row r="2923" spans="14:14" x14ac:dyDescent="0.25">
      <c r="N2923" s="70"/>
    </row>
    <row r="2924" spans="14:14" x14ac:dyDescent="0.25">
      <c r="N2924" s="70"/>
    </row>
    <row r="2925" spans="14:14" x14ac:dyDescent="0.25">
      <c r="N2925" s="70"/>
    </row>
    <row r="2926" spans="14:14" x14ac:dyDescent="0.25">
      <c r="N2926" s="70"/>
    </row>
    <row r="2927" spans="14:14" x14ac:dyDescent="0.25">
      <c r="N2927" s="70"/>
    </row>
    <row r="2928" spans="14:14" x14ac:dyDescent="0.25">
      <c r="N2928" s="70"/>
    </row>
    <row r="2929" spans="14:14" x14ac:dyDescent="0.25">
      <c r="N2929" s="70"/>
    </row>
    <row r="2930" spans="14:14" x14ac:dyDescent="0.25">
      <c r="N2930" s="70"/>
    </row>
    <row r="2931" spans="14:14" x14ac:dyDescent="0.25">
      <c r="N2931" s="70"/>
    </row>
    <row r="2932" spans="14:14" x14ac:dyDescent="0.25">
      <c r="N2932" s="70"/>
    </row>
    <row r="2933" spans="14:14" x14ac:dyDescent="0.25">
      <c r="N2933" s="70"/>
    </row>
    <row r="2934" spans="14:14" x14ac:dyDescent="0.25">
      <c r="N2934" s="70"/>
    </row>
    <row r="2935" spans="14:14" x14ac:dyDescent="0.25">
      <c r="N2935" s="70"/>
    </row>
    <row r="2936" spans="14:14" x14ac:dyDescent="0.25">
      <c r="N2936" s="70"/>
    </row>
    <row r="2937" spans="14:14" x14ac:dyDescent="0.25">
      <c r="N2937" s="70"/>
    </row>
    <row r="2938" spans="14:14" x14ac:dyDescent="0.25">
      <c r="N2938" s="70"/>
    </row>
    <row r="2939" spans="14:14" x14ac:dyDescent="0.25">
      <c r="N2939" s="70"/>
    </row>
    <row r="2940" spans="14:14" x14ac:dyDescent="0.25">
      <c r="N2940" s="70"/>
    </row>
    <row r="2941" spans="14:14" x14ac:dyDescent="0.25">
      <c r="N2941" s="70"/>
    </row>
    <row r="2942" spans="14:14" x14ac:dyDescent="0.25">
      <c r="N2942" s="70"/>
    </row>
    <row r="2943" spans="14:14" x14ac:dyDescent="0.25">
      <c r="N2943" s="70"/>
    </row>
    <row r="2944" spans="14:14" x14ac:dyDescent="0.25">
      <c r="N2944" s="70"/>
    </row>
    <row r="2945" spans="14:14" x14ac:dyDescent="0.25">
      <c r="N2945" s="70"/>
    </row>
    <row r="2946" spans="14:14" x14ac:dyDescent="0.25">
      <c r="N2946" s="70"/>
    </row>
    <row r="2947" spans="14:14" x14ac:dyDescent="0.25">
      <c r="N2947" s="70"/>
    </row>
    <row r="2948" spans="14:14" x14ac:dyDescent="0.25">
      <c r="N2948" s="70"/>
    </row>
    <row r="2949" spans="14:14" x14ac:dyDescent="0.25">
      <c r="N2949" s="70"/>
    </row>
    <row r="2950" spans="14:14" x14ac:dyDescent="0.25">
      <c r="N2950" s="70"/>
    </row>
    <row r="2951" spans="14:14" x14ac:dyDescent="0.25">
      <c r="N2951" s="70"/>
    </row>
    <row r="2952" spans="14:14" x14ac:dyDescent="0.25">
      <c r="N2952" s="70"/>
    </row>
    <row r="2953" spans="14:14" x14ac:dyDescent="0.25">
      <c r="N2953" s="70"/>
    </row>
    <row r="2954" spans="14:14" x14ac:dyDescent="0.25">
      <c r="N2954" s="70"/>
    </row>
    <row r="2955" spans="14:14" x14ac:dyDescent="0.25">
      <c r="N2955" s="70"/>
    </row>
    <row r="2956" spans="14:14" x14ac:dyDescent="0.25">
      <c r="N2956" s="70"/>
    </row>
    <row r="2957" spans="14:14" x14ac:dyDescent="0.25">
      <c r="N2957" s="70"/>
    </row>
    <row r="2958" spans="14:14" x14ac:dyDescent="0.25">
      <c r="N2958" s="70"/>
    </row>
    <row r="2959" spans="14:14" x14ac:dyDescent="0.25">
      <c r="N2959" s="70"/>
    </row>
    <row r="2960" spans="14:14" x14ac:dyDescent="0.25">
      <c r="N2960" s="70"/>
    </row>
    <row r="2961" spans="14:14" x14ac:dyDescent="0.25">
      <c r="N2961" s="70"/>
    </row>
    <row r="2962" spans="14:14" x14ac:dyDescent="0.25">
      <c r="N2962" s="70"/>
    </row>
    <row r="2963" spans="14:14" x14ac:dyDescent="0.25">
      <c r="N2963" s="70"/>
    </row>
    <row r="2964" spans="14:14" x14ac:dyDescent="0.25">
      <c r="N2964" s="70"/>
    </row>
    <row r="2965" spans="14:14" x14ac:dyDescent="0.25">
      <c r="N2965" s="70"/>
    </row>
    <row r="2966" spans="14:14" x14ac:dyDescent="0.25">
      <c r="N2966" s="70"/>
    </row>
    <row r="2967" spans="14:14" x14ac:dyDescent="0.25">
      <c r="N2967" s="70"/>
    </row>
    <row r="2968" spans="14:14" x14ac:dyDescent="0.25">
      <c r="N2968" s="70"/>
    </row>
    <row r="2969" spans="14:14" x14ac:dyDescent="0.25">
      <c r="N2969" s="70"/>
    </row>
    <row r="2970" spans="14:14" x14ac:dyDescent="0.25">
      <c r="N2970" s="70"/>
    </row>
    <row r="2971" spans="14:14" x14ac:dyDescent="0.25">
      <c r="N2971" s="70"/>
    </row>
    <row r="2972" spans="14:14" x14ac:dyDescent="0.25">
      <c r="N2972" s="70"/>
    </row>
    <row r="2973" spans="14:14" x14ac:dyDescent="0.25">
      <c r="N2973" s="70"/>
    </row>
    <row r="2974" spans="14:14" x14ac:dyDescent="0.25">
      <c r="N2974" s="70"/>
    </row>
    <row r="2975" spans="14:14" x14ac:dyDescent="0.25">
      <c r="N2975" s="70"/>
    </row>
    <row r="2976" spans="14:14" x14ac:dyDescent="0.25">
      <c r="N2976" s="70"/>
    </row>
    <row r="2977" spans="14:14" x14ac:dyDescent="0.25">
      <c r="N2977" s="70"/>
    </row>
    <row r="2978" spans="14:14" x14ac:dyDescent="0.25">
      <c r="N2978" s="70"/>
    </row>
    <row r="2979" spans="14:14" x14ac:dyDescent="0.25">
      <c r="N2979" s="70"/>
    </row>
    <row r="2980" spans="14:14" x14ac:dyDescent="0.25">
      <c r="N2980" s="70"/>
    </row>
    <row r="2981" spans="14:14" x14ac:dyDescent="0.25">
      <c r="N2981" s="70"/>
    </row>
    <row r="2982" spans="14:14" x14ac:dyDescent="0.25">
      <c r="N2982" s="70"/>
    </row>
    <row r="2983" spans="14:14" x14ac:dyDescent="0.25">
      <c r="N2983" s="70"/>
    </row>
    <row r="2984" spans="14:14" x14ac:dyDescent="0.25">
      <c r="N2984" s="70"/>
    </row>
    <row r="2985" spans="14:14" x14ac:dyDescent="0.25">
      <c r="N2985" s="70"/>
    </row>
    <row r="2986" spans="14:14" x14ac:dyDescent="0.25">
      <c r="N2986" s="70"/>
    </row>
    <row r="2987" spans="14:14" x14ac:dyDescent="0.25">
      <c r="N2987" s="70"/>
    </row>
    <row r="2988" spans="14:14" x14ac:dyDescent="0.25">
      <c r="N2988" s="70"/>
    </row>
    <row r="2989" spans="14:14" x14ac:dyDescent="0.25">
      <c r="N2989" s="70"/>
    </row>
    <row r="2990" spans="14:14" x14ac:dyDescent="0.25">
      <c r="N2990" s="70"/>
    </row>
    <row r="2991" spans="14:14" x14ac:dyDescent="0.25">
      <c r="N2991" s="70"/>
    </row>
    <row r="2992" spans="14:14" x14ac:dyDescent="0.25">
      <c r="N2992" s="70"/>
    </row>
    <row r="2993" spans="14:14" x14ac:dyDescent="0.25">
      <c r="N2993" s="70"/>
    </row>
    <row r="2994" spans="14:14" x14ac:dyDescent="0.25">
      <c r="N2994" s="70"/>
    </row>
    <row r="2995" spans="14:14" x14ac:dyDescent="0.25">
      <c r="N2995" s="70"/>
    </row>
    <row r="2996" spans="14:14" x14ac:dyDescent="0.25">
      <c r="N2996" s="70"/>
    </row>
    <row r="2997" spans="14:14" x14ac:dyDescent="0.25">
      <c r="N2997" s="70"/>
    </row>
    <row r="2998" spans="14:14" x14ac:dyDescent="0.25">
      <c r="N2998" s="70"/>
    </row>
    <row r="2999" spans="14:14" x14ac:dyDescent="0.25">
      <c r="N2999" s="70"/>
    </row>
    <row r="3000" spans="14:14" x14ac:dyDescent="0.25">
      <c r="N3000" s="70"/>
    </row>
    <row r="3001" spans="14:14" x14ac:dyDescent="0.25">
      <c r="N3001" s="70"/>
    </row>
    <row r="3002" spans="14:14" x14ac:dyDescent="0.25">
      <c r="N3002" s="70"/>
    </row>
    <row r="3003" spans="14:14" x14ac:dyDescent="0.25">
      <c r="N3003" s="70"/>
    </row>
    <row r="3004" spans="14:14" x14ac:dyDescent="0.25">
      <c r="N3004" s="70"/>
    </row>
    <row r="3005" spans="14:14" x14ac:dyDescent="0.25">
      <c r="N3005" s="70"/>
    </row>
    <row r="3006" spans="14:14" x14ac:dyDescent="0.25">
      <c r="N3006" s="70"/>
    </row>
    <row r="3007" spans="14:14" x14ac:dyDescent="0.25">
      <c r="N3007" s="70"/>
    </row>
    <row r="3008" spans="14:14" x14ac:dyDescent="0.25">
      <c r="N3008" s="70"/>
    </row>
    <row r="3009" spans="14:14" x14ac:dyDescent="0.25">
      <c r="N3009" s="70"/>
    </row>
    <row r="3010" spans="14:14" x14ac:dyDescent="0.25">
      <c r="N3010" s="70"/>
    </row>
    <row r="3011" spans="14:14" x14ac:dyDescent="0.25">
      <c r="N3011" s="70"/>
    </row>
    <row r="3012" spans="14:14" x14ac:dyDescent="0.25">
      <c r="N3012" s="70"/>
    </row>
    <row r="3013" spans="14:14" x14ac:dyDescent="0.25">
      <c r="N3013" s="70"/>
    </row>
    <row r="3014" spans="14:14" x14ac:dyDescent="0.25">
      <c r="N3014" s="70"/>
    </row>
    <row r="3015" spans="14:14" x14ac:dyDescent="0.25">
      <c r="N3015" s="70"/>
    </row>
    <row r="3016" spans="14:14" x14ac:dyDescent="0.25">
      <c r="N3016" s="70"/>
    </row>
    <row r="3017" spans="14:14" x14ac:dyDescent="0.25">
      <c r="N3017" s="70"/>
    </row>
    <row r="3018" spans="14:14" x14ac:dyDescent="0.25">
      <c r="N3018" s="70"/>
    </row>
    <row r="3019" spans="14:14" x14ac:dyDescent="0.25">
      <c r="N3019" s="70"/>
    </row>
    <row r="3020" spans="14:14" x14ac:dyDescent="0.25">
      <c r="N3020" s="70"/>
    </row>
    <row r="3021" spans="14:14" x14ac:dyDescent="0.25">
      <c r="N3021" s="70"/>
    </row>
    <row r="3022" spans="14:14" x14ac:dyDescent="0.25">
      <c r="N3022" s="70"/>
    </row>
    <row r="3023" spans="14:14" x14ac:dyDescent="0.25">
      <c r="N3023" s="70"/>
    </row>
    <row r="3024" spans="14:14" x14ac:dyDescent="0.25">
      <c r="N3024" s="70"/>
    </row>
    <row r="3025" spans="14:14" x14ac:dyDescent="0.25">
      <c r="N3025" s="70"/>
    </row>
    <row r="3026" spans="14:14" x14ac:dyDescent="0.25">
      <c r="N3026" s="70"/>
    </row>
    <row r="3027" spans="14:14" x14ac:dyDescent="0.25">
      <c r="N3027" s="70"/>
    </row>
    <row r="3028" spans="14:14" x14ac:dyDescent="0.25">
      <c r="N3028" s="70"/>
    </row>
    <row r="3029" spans="14:14" x14ac:dyDescent="0.25">
      <c r="N3029" s="70"/>
    </row>
    <row r="3030" spans="14:14" x14ac:dyDescent="0.25">
      <c r="N3030" s="70"/>
    </row>
    <row r="3031" spans="14:14" x14ac:dyDescent="0.25">
      <c r="N3031" s="70"/>
    </row>
    <row r="3032" spans="14:14" x14ac:dyDescent="0.25">
      <c r="N3032" s="70"/>
    </row>
    <row r="3033" spans="14:14" x14ac:dyDescent="0.25">
      <c r="N3033" s="70"/>
    </row>
    <row r="3034" spans="14:14" x14ac:dyDescent="0.25">
      <c r="N3034" s="70"/>
    </row>
    <row r="3035" spans="14:14" x14ac:dyDescent="0.25">
      <c r="N3035" s="70"/>
    </row>
    <row r="3036" spans="14:14" x14ac:dyDescent="0.25">
      <c r="N3036" s="70"/>
    </row>
    <row r="3037" spans="14:14" x14ac:dyDescent="0.25">
      <c r="N3037" s="70"/>
    </row>
    <row r="3038" spans="14:14" x14ac:dyDescent="0.25">
      <c r="N3038" s="70"/>
    </row>
    <row r="3039" spans="14:14" x14ac:dyDescent="0.25">
      <c r="N3039" s="70"/>
    </row>
    <row r="3040" spans="14:14" x14ac:dyDescent="0.25">
      <c r="N3040" s="70"/>
    </row>
    <row r="3041" spans="14:14" x14ac:dyDescent="0.25">
      <c r="N3041" s="70"/>
    </row>
    <row r="3042" spans="14:14" x14ac:dyDescent="0.25">
      <c r="N3042" s="70"/>
    </row>
    <row r="3043" spans="14:14" x14ac:dyDescent="0.25">
      <c r="N3043" s="70"/>
    </row>
    <row r="3044" spans="14:14" x14ac:dyDescent="0.25">
      <c r="N3044" s="70"/>
    </row>
    <row r="3045" spans="14:14" x14ac:dyDescent="0.25">
      <c r="N3045" s="70"/>
    </row>
    <row r="3046" spans="14:14" x14ac:dyDescent="0.25">
      <c r="N3046" s="70"/>
    </row>
    <row r="3047" spans="14:14" x14ac:dyDescent="0.25">
      <c r="N3047" s="70"/>
    </row>
    <row r="3048" spans="14:14" x14ac:dyDescent="0.25">
      <c r="N3048" s="70"/>
    </row>
    <row r="3049" spans="14:14" x14ac:dyDescent="0.25">
      <c r="N3049" s="70"/>
    </row>
    <row r="3050" spans="14:14" x14ac:dyDescent="0.25">
      <c r="N3050" s="70"/>
    </row>
    <row r="3051" spans="14:14" x14ac:dyDescent="0.25">
      <c r="N3051" s="70"/>
    </row>
    <row r="3052" spans="14:14" x14ac:dyDescent="0.25">
      <c r="N3052" s="70"/>
    </row>
    <row r="3053" spans="14:14" x14ac:dyDescent="0.25">
      <c r="N3053" s="70"/>
    </row>
    <row r="3054" spans="14:14" x14ac:dyDescent="0.25">
      <c r="N3054" s="70"/>
    </row>
    <row r="3055" spans="14:14" x14ac:dyDescent="0.25">
      <c r="N3055" s="70"/>
    </row>
    <row r="3056" spans="14:14" x14ac:dyDescent="0.25">
      <c r="N3056" s="70"/>
    </row>
    <row r="3057" spans="14:14" x14ac:dyDescent="0.25">
      <c r="N3057" s="70"/>
    </row>
    <row r="3058" spans="14:14" x14ac:dyDescent="0.25">
      <c r="N3058" s="70"/>
    </row>
    <row r="3059" spans="14:14" x14ac:dyDescent="0.25">
      <c r="N3059" s="70"/>
    </row>
    <row r="3060" spans="14:14" x14ac:dyDescent="0.25">
      <c r="N3060" s="70"/>
    </row>
    <row r="3061" spans="14:14" x14ac:dyDescent="0.25">
      <c r="N3061" s="70"/>
    </row>
    <row r="3062" spans="14:14" x14ac:dyDescent="0.25">
      <c r="N3062" s="70"/>
    </row>
    <row r="3063" spans="14:14" x14ac:dyDescent="0.25">
      <c r="N3063" s="70"/>
    </row>
    <row r="3064" spans="14:14" x14ac:dyDescent="0.25">
      <c r="N3064" s="70"/>
    </row>
    <row r="3065" spans="14:14" x14ac:dyDescent="0.25">
      <c r="N3065" s="70"/>
    </row>
    <row r="3066" spans="14:14" x14ac:dyDescent="0.25">
      <c r="N3066" s="70"/>
    </row>
    <row r="3067" spans="14:14" x14ac:dyDescent="0.25">
      <c r="N3067" s="70"/>
    </row>
    <row r="3068" spans="14:14" x14ac:dyDescent="0.25">
      <c r="N3068" s="70"/>
    </row>
    <row r="3069" spans="14:14" x14ac:dyDescent="0.25">
      <c r="N3069" s="70"/>
    </row>
    <row r="3070" spans="14:14" x14ac:dyDescent="0.25">
      <c r="N3070" s="70"/>
    </row>
    <row r="3071" spans="14:14" x14ac:dyDescent="0.25">
      <c r="N3071" s="70"/>
    </row>
    <row r="3072" spans="14:14" x14ac:dyDescent="0.25">
      <c r="N3072" s="70"/>
    </row>
    <row r="3073" spans="14:14" x14ac:dyDescent="0.25">
      <c r="N3073" s="70"/>
    </row>
    <row r="3074" spans="14:14" x14ac:dyDescent="0.25">
      <c r="N3074" s="70"/>
    </row>
    <row r="3075" spans="14:14" x14ac:dyDescent="0.25">
      <c r="N3075" s="70"/>
    </row>
    <row r="3076" spans="14:14" x14ac:dyDescent="0.25">
      <c r="N3076" s="70"/>
    </row>
    <row r="3077" spans="14:14" x14ac:dyDescent="0.25">
      <c r="N3077" s="70"/>
    </row>
    <row r="3078" spans="14:14" x14ac:dyDescent="0.25">
      <c r="N3078" s="70"/>
    </row>
    <row r="3079" spans="14:14" x14ac:dyDescent="0.25">
      <c r="N3079" s="70"/>
    </row>
    <row r="3080" spans="14:14" x14ac:dyDescent="0.25">
      <c r="N3080" s="70"/>
    </row>
    <row r="3081" spans="14:14" x14ac:dyDescent="0.25">
      <c r="N3081" s="70"/>
    </row>
    <row r="3082" spans="14:14" x14ac:dyDescent="0.25">
      <c r="N3082" s="70"/>
    </row>
    <row r="3083" spans="14:14" x14ac:dyDescent="0.25">
      <c r="N3083" s="70"/>
    </row>
    <row r="3084" spans="14:14" x14ac:dyDescent="0.25">
      <c r="N3084" s="70"/>
    </row>
    <row r="3085" spans="14:14" x14ac:dyDescent="0.25">
      <c r="N3085" s="70"/>
    </row>
    <row r="3086" spans="14:14" x14ac:dyDescent="0.25">
      <c r="N3086" s="70"/>
    </row>
    <row r="3087" spans="14:14" x14ac:dyDescent="0.25">
      <c r="N3087" s="70"/>
    </row>
    <row r="3088" spans="14:14" x14ac:dyDescent="0.25">
      <c r="N3088" s="70"/>
    </row>
    <row r="3089" spans="14:14" x14ac:dyDescent="0.25">
      <c r="N3089" s="70"/>
    </row>
    <row r="3090" spans="14:14" x14ac:dyDescent="0.25">
      <c r="N3090" s="70"/>
    </row>
    <row r="3091" spans="14:14" x14ac:dyDescent="0.25">
      <c r="N3091" s="70"/>
    </row>
    <row r="3092" spans="14:14" x14ac:dyDescent="0.25">
      <c r="N3092" s="70"/>
    </row>
    <row r="3093" spans="14:14" x14ac:dyDescent="0.25">
      <c r="N3093" s="70"/>
    </row>
    <row r="3094" spans="14:14" x14ac:dyDescent="0.25">
      <c r="N3094" s="70"/>
    </row>
    <row r="3095" spans="14:14" x14ac:dyDescent="0.25">
      <c r="N3095" s="70"/>
    </row>
    <row r="3096" spans="14:14" x14ac:dyDescent="0.25">
      <c r="N3096" s="70"/>
    </row>
    <row r="3097" spans="14:14" x14ac:dyDescent="0.25">
      <c r="N3097" s="70"/>
    </row>
    <row r="3098" spans="14:14" x14ac:dyDescent="0.25">
      <c r="N3098" s="70"/>
    </row>
    <row r="3099" spans="14:14" x14ac:dyDescent="0.25">
      <c r="N3099" s="70"/>
    </row>
    <row r="3100" spans="14:14" x14ac:dyDescent="0.25">
      <c r="N3100" s="70"/>
    </row>
    <row r="3101" spans="14:14" x14ac:dyDescent="0.25">
      <c r="N3101" s="70"/>
    </row>
    <row r="3102" spans="14:14" x14ac:dyDescent="0.25">
      <c r="N3102" s="70"/>
    </row>
    <row r="3103" spans="14:14" x14ac:dyDescent="0.25">
      <c r="N3103" s="70"/>
    </row>
    <row r="3104" spans="14:14" x14ac:dyDescent="0.25">
      <c r="N3104" s="70"/>
    </row>
    <row r="3105" spans="14:14" x14ac:dyDescent="0.25">
      <c r="N3105" s="70"/>
    </row>
    <row r="3106" spans="14:14" x14ac:dyDescent="0.25">
      <c r="N3106" s="70"/>
    </row>
    <row r="3107" spans="14:14" x14ac:dyDescent="0.25">
      <c r="N3107" s="70"/>
    </row>
    <row r="3108" spans="14:14" x14ac:dyDescent="0.25">
      <c r="N3108" s="70"/>
    </row>
    <row r="3109" spans="14:14" x14ac:dyDescent="0.25">
      <c r="N3109" s="70"/>
    </row>
    <row r="3110" spans="14:14" x14ac:dyDescent="0.25">
      <c r="N3110" s="70"/>
    </row>
    <row r="3111" spans="14:14" x14ac:dyDescent="0.25">
      <c r="N3111" s="70"/>
    </row>
    <row r="3112" spans="14:14" x14ac:dyDescent="0.25">
      <c r="N3112" s="70"/>
    </row>
    <row r="3113" spans="14:14" x14ac:dyDescent="0.25">
      <c r="N3113" s="70"/>
    </row>
    <row r="3114" spans="14:14" x14ac:dyDescent="0.25">
      <c r="N3114" s="70"/>
    </row>
    <row r="3115" spans="14:14" x14ac:dyDescent="0.25">
      <c r="N3115" s="70"/>
    </row>
    <row r="3116" spans="14:14" x14ac:dyDescent="0.25">
      <c r="N3116" s="70"/>
    </row>
    <row r="3117" spans="14:14" x14ac:dyDescent="0.25">
      <c r="N3117" s="70"/>
    </row>
    <row r="3118" spans="14:14" x14ac:dyDescent="0.25">
      <c r="N3118" s="70"/>
    </row>
    <row r="3119" spans="14:14" x14ac:dyDescent="0.25">
      <c r="N3119" s="70"/>
    </row>
    <row r="3120" spans="14:14" x14ac:dyDescent="0.25">
      <c r="N3120" s="70"/>
    </row>
    <row r="3121" spans="14:14" x14ac:dyDescent="0.25">
      <c r="N3121" s="70"/>
    </row>
    <row r="3122" spans="14:14" x14ac:dyDescent="0.25">
      <c r="N3122" s="70"/>
    </row>
    <row r="3123" spans="14:14" x14ac:dyDescent="0.25">
      <c r="N3123" s="70"/>
    </row>
    <row r="3124" spans="14:14" x14ac:dyDescent="0.25">
      <c r="N3124" s="70"/>
    </row>
    <row r="3125" spans="14:14" x14ac:dyDescent="0.25">
      <c r="N3125" s="70"/>
    </row>
    <row r="3126" spans="14:14" x14ac:dyDescent="0.25">
      <c r="N3126" s="70"/>
    </row>
    <row r="3127" spans="14:14" x14ac:dyDescent="0.25">
      <c r="N3127" s="70"/>
    </row>
    <row r="3128" spans="14:14" x14ac:dyDescent="0.25">
      <c r="N3128" s="70"/>
    </row>
    <row r="3129" spans="14:14" x14ac:dyDescent="0.25">
      <c r="N3129" s="70"/>
    </row>
    <row r="3130" spans="14:14" x14ac:dyDescent="0.25">
      <c r="N3130" s="70"/>
    </row>
    <row r="3131" spans="14:14" x14ac:dyDescent="0.25">
      <c r="N3131" s="70"/>
    </row>
    <row r="3132" spans="14:14" x14ac:dyDescent="0.25">
      <c r="N3132" s="70"/>
    </row>
    <row r="3133" spans="14:14" x14ac:dyDescent="0.25">
      <c r="N3133" s="70"/>
    </row>
    <row r="3134" spans="14:14" x14ac:dyDescent="0.25">
      <c r="N3134" s="70"/>
    </row>
    <row r="3135" spans="14:14" x14ac:dyDescent="0.25">
      <c r="N3135" s="70"/>
    </row>
    <row r="3136" spans="14:14" x14ac:dyDescent="0.25">
      <c r="N3136" s="70"/>
    </row>
    <row r="3137" spans="14:14" x14ac:dyDescent="0.25">
      <c r="N3137" s="70"/>
    </row>
    <row r="3138" spans="14:14" x14ac:dyDescent="0.25">
      <c r="N3138" s="70"/>
    </row>
    <row r="3139" spans="14:14" x14ac:dyDescent="0.25">
      <c r="N3139" s="70"/>
    </row>
    <row r="3140" spans="14:14" x14ac:dyDescent="0.25">
      <c r="N3140" s="70"/>
    </row>
    <row r="3141" spans="14:14" x14ac:dyDescent="0.25">
      <c r="N3141" s="70"/>
    </row>
    <row r="3142" spans="14:14" x14ac:dyDescent="0.25">
      <c r="N3142" s="70"/>
    </row>
    <row r="3143" spans="14:14" x14ac:dyDescent="0.25">
      <c r="N3143" s="70"/>
    </row>
    <row r="3144" spans="14:14" x14ac:dyDescent="0.25">
      <c r="N3144" s="70"/>
    </row>
    <row r="3145" spans="14:14" x14ac:dyDescent="0.25">
      <c r="N3145" s="70"/>
    </row>
    <row r="3146" spans="14:14" x14ac:dyDescent="0.25">
      <c r="N3146" s="70"/>
    </row>
    <row r="3147" spans="14:14" x14ac:dyDescent="0.25">
      <c r="N3147" s="70"/>
    </row>
    <row r="3148" spans="14:14" x14ac:dyDescent="0.25">
      <c r="N3148" s="70"/>
    </row>
    <row r="3149" spans="14:14" x14ac:dyDescent="0.25">
      <c r="N3149" s="70"/>
    </row>
    <row r="3150" spans="14:14" x14ac:dyDescent="0.25">
      <c r="N3150" s="70"/>
    </row>
    <row r="3151" spans="14:14" x14ac:dyDescent="0.25">
      <c r="N3151" s="70"/>
    </row>
    <row r="3152" spans="14:14" x14ac:dyDescent="0.25">
      <c r="N3152" s="70"/>
    </row>
    <row r="3153" spans="14:14" x14ac:dyDescent="0.25">
      <c r="N3153" s="70"/>
    </row>
    <row r="3154" spans="14:14" x14ac:dyDescent="0.25">
      <c r="N3154" s="70"/>
    </row>
    <row r="3155" spans="14:14" x14ac:dyDescent="0.25">
      <c r="N3155" s="70"/>
    </row>
    <row r="3156" spans="14:14" x14ac:dyDescent="0.25">
      <c r="N3156" s="70"/>
    </row>
    <row r="3157" spans="14:14" x14ac:dyDescent="0.25">
      <c r="N3157" s="70"/>
    </row>
    <row r="3158" spans="14:14" x14ac:dyDescent="0.25">
      <c r="N3158" s="70"/>
    </row>
    <row r="3159" spans="14:14" x14ac:dyDescent="0.25">
      <c r="N3159" s="70"/>
    </row>
    <row r="3160" spans="14:14" x14ac:dyDescent="0.25">
      <c r="N3160" s="70"/>
    </row>
    <row r="3161" spans="14:14" x14ac:dyDescent="0.25">
      <c r="N3161" s="70"/>
    </row>
    <row r="3162" spans="14:14" x14ac:dyDescent="0.25">
      <c r="N3162" s="70"/>
    </row>
    <row r="3163" spans="14:14" x14ac:dyDescent="0.25">
      <c r="N3163" s="70"/>
    </row>
    <row r="3164" spans="14:14" x14ac:dyDescent="0.25">
      <c r="N3164" s="70"/>
    </row>
    <row r="3165" spans="14:14" x14ac:dyDescent="0.25">
      <c r="N3165" s="70"/>
    </row>
    <row r="3166" spans="14:14" x14ac:dyDescent="0.25">
      <c r="N3166" s="70"/>
    </row>
    <row r="3167" spans="14:14" x14ac:dyDescent="0.25">
      <c r="N3167" s="70"/>
    </row>
    <row r="3168" spans="14:14" x14ac:dyDescent="0.25">
      <c r="N3168" s="70"/>
    </row>
    <row r="3169" spans="14:14" x14ac:dyDescent="0.25">
      <c r="N3169" s="70"/>
    </row>
    <row r="3170" spans="14:14" x14ac:dyDescent="0.25">
      <c r="N3170" s="70"/>
    </row>
    <row r="3171" spans="14:14" x14ac:dyDescent="0.25">
      <c r="N3171" s="70"/>
    </row>
    <row r="3172" spans="14:14" x14ac:dyDescent="0.25">
      <c r="N3172" s="70"/>
    </row>
    <row r="3173" spans="14:14" x14ac:dyDescent="0.25">
      <c r="N3173" s="70"/>
    </row>
    <row r="3174" spans="14:14" x14ac:dyDescent="0.25">
      <c r="N3174" s="70"/>
    </row>
    <row r="3175" spans="14:14" x14ac:dyDescent="0.25">
      <c r="N3175" s="70"/>
    </row>
    <row r="3176" spans="14:14" x14ac:dyDescent="0.25">
      <c r="N3176" s="70"/>
    </row>
    <row r="3177" spans="14:14" x14ac:dyDescent="0.25">
      <c r="N3177" s="70"/>
    </row>
    <row r="3178" spans="14:14" x14ac:dyDescent="0.25">
      <c r="N3178" s="70"/>
    </row>
    <row r="3179" spans="14:14" x14ac:dyDescent="0.25">
      <c r="N3179" s="70"/>
    </row>
    <row r="3180" spans="14:14" x14ac:dyDescent="0.25">
      <c r="N3180" s="70"/>
    </row>
    <row r="3181" spans="14:14" x14ac:dyDescent="0.25">
      <c r="N3181" s="70"/>
    </row>
    <row r="3182" spans="14:14" x14ac:dyDescent="0.25">
      <c r="N3182" s="70"/>
    </row>
    <row r="3183" spans="14:14" x14ac:dyDescent="0.25">
      <c r="N3183" s="70"/>
    </row>
    <row r="3184" spans="14:14" x14ac:dyDescent="0.25">
      <c r="N3184" s="70"/>
    </row>
    <row r="3185" spans="14:14" x14ac:dyDescent="0.25">
      <c r="N3185" s="70"/>
    </row>
    <row r="3186" spans="14:14" x14ac:dyDescent="0.25">
      <c r="N3186" s="70"/>
    </row>
    <row r="3187" spans="14:14" x14ac:dyDescent="0.25">
      <c r="N3187" s="70"/>
    </row>
    <row r="3188" spans="14:14" x14ac:dyDescent="0.25">
      <c r="N3188" s="70"/>
    </row>
    <row r="3189" spans="14:14" x14ac:dyDescent="0.25">
      <c r="N3189" s="70"/>
    </row>
    <row r="3190" spans="14:14" x14ac:dyDescent="0.25">
      <c r="N3190" s="70"/>
    </row>
    <row r="3191" spans="14:14" x14ac:dyDescent="0.25">
      <c r="N3191" s="70"/>
    </row>
    <row r="3192" spans="14:14" x14ac:dyDescent="0.25">
      <c r="N3192" s="70"/>
    </row>
    <row r="3193" spans="14:14" x14ac:dyDescent="0.25">
      <c r="N3193" s="70"/>
    </row>
    <row r="3194" spans="14:14" x14ac:dyDescent="0.25">
      <c r="N3194" s="70"/>
    </row>
    <row r="3195" spans="14:14" x14ac:dyDescent="0.25">
      <c r="N3195" s="70"/>
    </row>
    <row r="3196" spans="14:14" x14ac:dyDescent="0.25">
      <c r="N3196" s="70"/>
    </row>
    <row r="3197" spans="14:14" x14ac:dyDescent="0.25">
      <c r="N3197" s="70"/>
    </row>
    <row r="3198" spans="14:14" x14ac:dyDescent="0.25">
      <c r="N3198" s="70"/>
    </row>
    <row r="3199" spans="14:14" x14ac:dyDescent="0.25">
      <c r="N3199" s="70"/>
    </row>
    <row r="3200" spans="14:14" x14ac:dyDescent="0.25">
      <c r="N3200" s="70"/>
    </row>
    <row r="3201" spans="14:14" x14ac:dyDescent="0.25">
      <c r="N3201" s="70"/>
    </row>
    <row r="3202" spans="14:14" x14ac:dyDescent="0.25">
      <c r="N3202" s="70"/>
    </row>
    <row r="3203" spans="14:14" x14ac:dyDescent="0.25">
      <c r="N3203" s="70"/>
    </row>
    <row r="3204" spans="14:14" x14ac:dyDescent="0.25">
      <c r="N3204" s="70"/>
    </row>
    <row r="3205" spans="14:14" x14ac:dyDescent="0.25">
      <c r="N3205" s="70"/>
    </row>
    <row r="3206" spans="14:14" x14ac:dyDescent="0.25">
      <c r="N3206" s="70"/>
    </row>
    <row r="3207" spans="14:14" x14ac:dyDescent="0.25">
      <c r="N3207" s="70"/>
    </row>
    <row r="3208" spans="14:14" x14ac:dyDescent="0.25">
      <c r="N3208" s="70"/>
    </row>
    <row r="3209" spans="14:14" x14ac:dyDescent="0.25">
      <c r="N3209" s="70"/>
    </row>
    <row r="3210" spans="14:14" x14ac:dyDescent="0.25">
      <c r="N3210" s="70"/>
    </row>
    <row r="3211" spans="14:14" x14ac:dyDescent="0.25">
      <c r="N3211" s="70"/>
    </row>
    <row r="3212" spans="14:14" x14ac:dyDescent="0.25">
      <c r="N3212" s="70"/>
    </row>
    <row r="3213" spans="14:14" x14ac:dyDescent="0.25">
      <c r="N3213" s="70"/>
    </row>
    <row r="3214" spans="14:14" x14ac:dyDescent="0.25">
      <c r="N3214" s="70"/>
    </row>
    <row r="3215" spans="14:14" x14ac:dyDescent="0.25">
      <c r="N3215" s="70"/>
    </row>
    <row r="3216" spans="14:14" x14ac:dyDescent="0.25">
      <c r="N3216" s="70"/>
    </row>
    <row r="3217" spans="14:14" x14ac:dyDescent="0.25">
      <c r="N3217" s="70"/>
    </row>
    <row r="3218" spans="14:14" x14ac:dyDescent="0.25">
      <c r="N3218" s="70"/>
    </row>
    <row r="3219" spans="14:14" x14ac:dyDescent="0.25">
      <c r="N3219" s="70"/>
    </row>
    <row r="3220" spans="14:14" x14ac:dyDescent="0.25">
      <c r="N3220" s="70"/>
    </row>
    <row r="3221" spans="14:14" x14ac:dyDescent="0.25">
      <c r="N3221" s="70"/>
    </row>
    <row r="3222" spans="14:14" x14ac:dyDescent="0.25">
      <c r="N3222" s="70"/>
    </row>
    <row r="3223" spans="14:14" x14ac:dyDescent="0.25">
      <c r="N3223" s="70"/>
    </row>
    <row r="3224" spans="14:14" x14ac:dyDescent="0.25">
      <c r="N3224" s="70"/>
    </row>
    <row r="3225" spans="14:14" x14ac:dyDescent="0.25">
      <c r="N3225" s="70"/>
    </row>
    <row r="3226" spans="14:14" x14ac:dyDescent="0.25">
      <c r="N3226" s="70"/>
    </row>
    <row r="3227" spans="14:14" x14ac:dyDescent="0.25">
      <c r="N3227" s="70"/>
    </row>
    <row r="3228" spans="14:14" x14ac:dyDescent="0.25">
      <c r="N3228" s="70"/>
    </row>
    <row r="3229" spans="14:14" x14ac:dyDescent="0.25">
      <c r="N3229" s="70"/>
    </row>
    <row r="3230" spans="14:14" x14ac:dyDescent="0.25">
      <c r="N3230" s="70"/>
    </row>
    <row r="3231" spans="14:14" x14ac:dyDescent="0.25">
      <c r="N3231" s="70"/>
    </row>
    <row r="3232" spans="14:14" x14ac:dyDescent="0.25">
      <c r="N3232" s="70"/>
    </row>
    <row r="3233" spans="14:14" x14ac:dyDescent="0.25">
      <c r="N3233" s="70"/>
    </row>
    <row r="3234" spans="14:14" x14ac:dyDescent="0.25">
      <c r="N3234" s="70"/>
    </row>
    <row r="3235" spans="14:14" x14ac:dyDescent="0.25">
      <c r="N3235" s="70"/>
    </row>
    <row r="3236" spans="14:14" x14ac:dyDescent="0.25">
      <c r="N3236" s="70"/>
    </row>
    <row r="3237" spans="14:14" x14ac:dyDescent="0.25">
      <c r="N3237" s="70"/>
    </row>
    <row r="3238" spans="14:14" x14ac:dyDescent="0.25">
      <c r="N3238" s="70"/>
    </row>
    <row r="3239" spans="14:14" x14ac:dyDescent="0.25">
      <c r="N3239" s="70"/>
    </row>
    <row r="3240" spans="14:14" x14ac:dyDescent="0.25">
      <c r="N3240" s="70"/>
    </row>
    <row r="3241" spans="14:14" x14ac:dyDescent="0.25">
      <c r="N3241" s="70"/>
    </row>
    <row r="3242" spans="14:14" x14ac:dyDescent="0.25">
      <c r="N3242" s="70"/>
    </row>
    <row r="3243" spans="14:14" x14ac:dyDescent="0.25">
      <c r="N3243" s="70"/>
    </row>
    <row r="3244" spans="14:14" x14ac:dyDescent="0.25">
      <c r="N3244" s="70"/>
    </row>
    <row r="3245" spans="14:14" x14ac:dyDescent="0.25">
      <c r="N3245" s="70"/>
    </row>
    <row r="3246" spans="14:14" x14ac:dyDescent="0.25">
      <c r="N3246" s="70"/>
    </row>
    <row r="3247" spans="14:14" x14ac:dyDescent="0.25">
      <c r="N3247" s="70"/>
    </row>
    <row r="3248" spans="14:14" x14ac:dyDescent="0.25">
      <c r="N3248" s="70"/>
    </row>
    <row r="3249" spans="14:14" x14ac:dyDescent="0.25">
      <c r="N3249" s="70"/>
    </row>
    <row r="3250" spans="14:14" x14ac:dyDescent="0.25">
      <c r="N3250" s="70"/>
    </row>
    <row r="3251" spans="14:14" x14ac:dyDescent="0.25">
      <c r="N3251" s="70"/>
    </row>
    <row r="3252" spans="14:14" x14ac:dyDescent="0.25">
      <c r="N3252" s="70"/>
    </row>
    <row r="3253" spans="14:14" x14ac:dyDescent="0.25">
      <c r="N3253" s="70"/>
    </row>
    <row r="3254" spans="14:14" x14ac:dyDescent="0.25">
      <c r="N3254" s="70"/>
    </row>
    <row r="3255" spans="14:14" x14ac:dyDescent="0.25">
      <c r="N3255" s="70"/>
    </row>
    <row r="3256" spans="14:14" x14ac:dyDescent="0.25">
      <c r="N3256" s="70"/>
    </row>
    <row r="3257" spans="14:14" x14ac:dyDescent="0.25">
      <c r="N3257" s="70"/>
    </row>
    <row r="3258" spans="14:14" x14ac:dyDescent="0.25">
      <c r="N3258" s="70"/>
    </row>
    <row r="3259" spans="14:14" x14ac:dyDescent="0.25">
      <c r="N3259" s="70"/>
    </row>
    <row r="3260" spans="14:14" x14ac:dyDescent="0.25">
      <c r="N3260" s="70"/>
    </row>
    <row r="3261" spans="14:14" x14ac:dyDescent="0.25">
      <c r="N3261" s="70"/>
    </row>
    <row r="3262" spans="14:14" x14ac:dyDescent="0.25">
      <c r="N3262" s="70"/>
    </row>
    <row r="3263" spans="14:14" x14ac:dyDescent="0.25">
      <c r="N3263" s="70"/>
    </row>
    <row r="3264" spans="14:14" x14ac:dyDescent="0.25">
      <c r="N3264" s="70"/>
    </row>
    <row r="3265" spans="14:14" x14ac:dyDescent="0.25">
      <c r="N3265" s="70"/>
    </row>
    <row r="3266" spans="14:14" x14ac:dyDescent="0.25">
      <c r="N3266" s="70"/>
    </row>
    <row r="3267" spans="14:14" x14ac:dyDescent="0.25">
      <c r="N3267" s="70"/>
    </row>
    <row r="3268" spans="14:14" x14ac:dyDescent="0.25">
      <c r="N3268" s="70"/>
    </row>
    <row r="3269" spans="14:14" x14ac:dyDescent="0.25">
      <c r="N3269" s="70"/>
    </row>
    <row r="3270" spans="14:14" x14ac:dyDescent="0.25">
      <c r="N3270" s="70"/>
    </row>
    <row r="3271" spans="14:14" x14ac:dyDescent="0.25">
      <c r="N3271" s="70"/>
    </row>
    <row r="3272" spans="14:14" x14ac:dyDescent="0.25">
      <c r="N3272" s="70"/>
    </row>
    <row r="3273" spans="14:14" x14ac:dyDescent="0.25">
      <c r="N3273" s="70"/>
    </row>
    <row r="3274" spans="14:14" x14ac:dyDescent="0.25">
      <c r="N3274" s="70"/>
    </row>
    <row r="3275" spans="14:14" x14ac:dyDescent="0.25">
      <c r="N3275" s="70"/>
    </row>
    <row r="3276" spans="14:14" x14ac:dyDescent="0.25">
      <c r="N3276" s="70"/>
    </row>
    <row r="3277" spans="14:14" x14ac:dyDescent="0.25">
      <c r="N3277" s="70"/>
    </row>
    <row r="3278" spans="14:14" x14ac:dyDescent="0.25">
      <c r="N3278" s="70"/>
    </row>
    <row r="3279" spans="14:14" x14ac:dyDescent="0.25">
      <c r="N3279" s="70"/>
    </row>
    <row r="3280" spans="14:14" x14ac:dyDescent="0.25">
      <c r="N3280" s="70"/>
    </row>
    <row r="3281" spans="14:14" x14ac:dyDescent="0.25">
      <c r="N3281" s="70"/>
    </row>
    <row r="3282" spans="14:14" x14ac:dyDescent="0.25">
      <c r="N3282" s="70"/>
    </row>
    <row r="3283" spans="14:14" x14ac:dyDescent="0.25">
      <c r="N3283" s="70"/>
    </row>
    <row r="3284" spans="14:14" x14ac:dyDescent="0.25">
      <c r="N3284" s="70"/>
    </row>
    <row r="3285" spans="14:14" x14ac:dyDescent="0.25">
      <c r="N3285" s="70"/>
    </row>
    <row r="3286" spans="14:14" x14ac:dyDescent="0.25">
      <c r="N3286" s="70"/>
    </row>
    <row r="3287" spans="14:14" x14ac:dyDescent="0.25">
      <c r="N3287" s="70"/>
    </row>
    <row r="3288" spans="14:14" x14ac:dyDescent="0.25">
      <c r="N3288" s="70"/>
    </row>
    <row r="3289" spans="14:14" x14ac:dyDescent="0.25">
      <c r="N3289" s="70"/>
    </row>
    <row r="3290" spans="14:14" x14ac:dyDescent="0.25">
      <c r="N3290" s="70"/>
    </row>
    <row r="3291" spans="14:14" x14ac:dyDescent="0.25">
      <c r="N3291" s="70"/>
    </row>
    <row r="3292" spans="14:14" x14ac:dyDescent="0.25">
      <c r="N3292" s="70"/>
    </row>
    <row r="3293" spans="14:14" x14ac:dyDescent="0.25">
      <c r="N3293" s="70"/>
    </row>
    <row r="3294" spans="14:14" x14ac:dyDescent="0.25">
      <c r="N3294" s="70"/>
    </row>
    <row r="3295" spans="14:14" x14ac:dyDescent="0.25">
      <c r="N3295" s="70"/>
    </row>
    <row r="3296" spans="14:14" x14ac:dyDescent="0.25">
      <c r="N3296" s="70"/>
    </row>
    <row r="3297" spans="14:14" x14ac:dyDescent="0.25">
      <c r="N3297" s="70"/>
    </row>
    <row r="3298" spans="14:14" x14ac:dyDescent="0.25">
      <c r="N3298" s="70"/>
    </row>
    <row r="3299" spans="14:14" x14ac:dyDescent="0.25">
      <c r="N3299" s="70"/>
    </row>
    <row r="3300" spans="14:14" x14ac:dyDescent="0.25">
      <c r="N3300" s="70"/>
    </row>
    <row r="3301" spans="14:14" x14ac:dyDescent="0.25">
      <c r="N3301" s="70"/>
    </row>
    <row r="3302" spans="14:14" x14ac:dyDescent="0.25">
      <c r="N3302" s="70"/>
    </row>
    <row r="3303" spans="14:14" x14ac:dyDescent="0.25">
      <c r="N3303" s="70"/>
    </row>
    <row r="3304" spans="14:14" x14ac:dyDescent="0.25">
      <c r="N3304" s="70"/>
    </row>
    <row r="3305" spans="14:14" x14ac:dyDescent="0.25">
      <c r="N3305" s="70"/>
    </row>
    <row r="3306" spans="14:14" x14ac:dyDescent="0.25">
      <c r="N3306" s="70"/>
    </row>
    <row r="3307" spans="14:14" x14ac:dyDescent="0.25">
      <c r="N3307" s="70"/>
    </row>
    <row r="3308" spans="14:14" x14ac:dyDescent="0.25">
      <c r="N3308" s="70"/>
    </row>
    <row r="3309" spans="14:14" x14ac:dyDescent="0.25">
      <c r="N3309" s="70"/>
    </row>
    <row r="3310" spans="14:14" x14ac:dyDescent="0.25">
      <c r="N3310" s="70"/>
    </row>
    <row r="3311" spans="14:14" x14ac:dyDescent="0.25">
      <c r="N3311" s="70"/>
    </row>
    <row r="3312" spans="14:14" x14ac:dyDescent="0.25">
      <c r="N3312" s="70"/>
    </row>
    <row r="3313" spans="14:14" x14ac:dyDescent="0.25">
      <c r="N3313" s="70"/>
    </row>
    <row r="3314" spans="14:14" x14ac:dyDescent="0.25">
      <c r="N3314" s="70"/>
    </row>
    <row r="3315" spans="14:14" x14ac:dyDescent="0.25">
      <c r="N3315" s="70"/>
    </row>
    <row r="3316" spans="14:14" x14ac:dyDescent="0.25">
      <c r="N3316" s="70"/>
    </row>
    <row r="3317" spans="14:14" x14ac:dyDescent="0.25">
      <c r="N3317" s="70"/>
    </row>
    <row r="3318" spans="14:14" x14ac:dyDescent="0.25">
      <c r="N3318" s="70"/>
    </row>
    <row r="3319" spans="14:14" x14ac:dyDescent="0.25">
      <c r="N3319" s="70"/>
    </row>
    <row r="3320" spans="14:14" x14ac:dyDescent="0.25">
      <c r="N3320" s="70"/>
    </row>
    <row r="3321" spans="14:14" x14ac:dyDescent="0.25">
      <c r="N3321" s="70"/>
    </row>
    <row r="3322" spans="14:14" x14ac:dyDescent="0.25">
      <c r="N3322" s="70"/>
    </row>
    <row r="3323" spans="14:14" x14ac:dyDescent="0.25">
      <c r="N3323" s="70"/>
    </row>
    <row r="3324" spans="14:14" x14ac:dyDescent="0.25">
      <c r="N3324" s="70"/>
    </row>
    <row r="3325" spans="14:14" x14ac:dyDescent="0.25">
      <c r="N3325" s="70"/>
    </row>
    <row r="3326" spans="14:14" x14ac:dyDescent="0.25">
      <c r="N3326" s="70"/>
    </row>
    <row r="3327" spans="14:14" x14ac:dyDescent="0.25">
      <c r="N3327" s="70"/>
    </row>
    <row r="3328" spans="14:14" x14ac:dyDescent="0.25">
      <c r="N3328" s="70"/>
    </row>
    <row r="3329" spans="14:14" x14ac:dyDescent="0.25">
      <c r="N3329" s="70"/>
    </row>
    <row r="3330" spans="14:14" x14ac:dyDescent="0.25">
      <c r="N3330" s="70"/>
    </row>
    <row r="3331" spans="14:14" x14ac:dyDescent="0.25">
      <c r="N3331" s="70"/>
    </row>
    <row r="3332" spans="14:14" x14ac:dyDescent="0.25">
      <c r="N3332" s="70"/>
    </row>
    <row r="3333" spans="14:14" x14ac:dyDescent="0.25">
      <c r="N3333" s="70"/>
    </row>
    <row r="3334" spans="14:14" x14ac:dyDescent="0.25">
      <c r="N3334" s="70"/>
    </row>
    <row r="3335" spans="14:14" x14ac:dyDescent="0.25">
      <c r="N3335" s="70"/>
    </row>
    <row r="3336" spans="14:14" x14ac:dyDescent="0.25">
      <c r="N3336" s="70"/>
    </row>
    <row r="3337" spans="14:14" x14ac:dyDescent="0.25">
      <c r="N3337" s="70"/>
    </row>
    <row r="3338" spans="14:14" x14ac:dyDescent="0.25">
      <c r="N3338" s="70"/>
    </row>
    <row r="3339" spans="14:14" x14ac:dyDescent="0.25">
      <c r="N3339" s="70"/>
    </row>
    <row r="3340" spans="14:14" x14ac:dyDescent="0.25">
      <c r="N3340" s="70"/>
    </row>
    <row r="3341" spans="14:14" x14ac:dyDescent="0.25">
      <c r="N3341" s="70"/>
    </row>
    <row r="3342" spans="14:14" x14ac:dyDescent="0.25">
      <c r="N3342" s="70"/>
    </row>
    <row r="3343" spans="14:14" x14ac:dyDescent="0.25">
      <c r="N3343" s="70"/>
    </row>
    <row r="3344" spans="14:14" x14ac:dyDescent="0.25">
      <c r="N3344" s="70"/>
    </row>
    <row r="3345" spans="14:14" x14ac:dyDescent="0.25">
      <c r="N3345" s="70"/>
    </row>
    <row r="3346" spans="14:14" x14ac:dyDescent="0.25">
      <c r="N3346" s="70"/>
    </row>
    <row r="3347" spans="14:14" x14ac:dyDescent="0.25">
      <c r="N3347" s="70"/>
    </row>
    <row r="3348" spans="14:14" x14ac:dyDescent="0.25">
      <c r="N3348" s="70"/>
    </row>
    <row r="3349" spans="14:14" x14ac:dyDescent="0.25">
      <c r="N3349" s="70"/>
    </row>
    <row r="3350" spans="14:14" x14ac:dyDescent="0.25">
      <c r="N3350" s="70"/>
    </row>
    <row r="3351" spans="14:14" x14ac:dyDescent="0.25">
      <c r="N3351" s="70"/>
    </row>
    <row r="3352" spans="14:14" x14ac:dyDescent="0.25">
      <c r="N3352" s="70"/>
    </row>
    <row r="3353" spans="14:14" x14ac:dyDescent="0.25">
      <c r="N3353" s="70"/>
    </row>
    <row r="3354" spans="14:14" x14ac:dyDescent="0.25">
      <c r="N3354" s="70"/>
    </row>
    <row r="3355" spans="14:14" x14ac:dyDescent="0.25">
      <c r="N3355" s="70"/>
    </row>
    <row r="3356" spans="14:14" x14ac:dyDescent="0.25">
      <c r="N3356" s="70"/>
    </row>
    <row r="3357" spans="14:14" x14ac:dyDescent="0.25">
      <c r="N3357" s="70"/>
    </row>
    <row r="3358" spans="14:14" x14ac:dyDescent="0.25">
      <c r="N3358" s="70"/>
    </row>
    <row r="3359" spans="14:14" x14ac:dyDescent="0.25">
      <c r="N3359" s="70"/>
    </row>
    <row r="3360" spans="14:14" x14ac:dyDescent="0.25">
      <c r="N3360" s="70"/>
    </row>
    <row r="3361" spans="14:14" x14ac:dyDescent="0.25">
      <c r="N3361" s="70"/>
    </row>
    <row r="3362" spans="14:14" x14ac:dyDescent="0.25">
      <c r="N3362" s="70"/>
    </row>
    <row r="3363" spans="14:14" x14ac:dyDescent="0.25">
      <c r="N3363" s="70"/>
    </row>
    <row r="3364" spans="14:14" x14ac:dyDescent="0.25">
      <c r="N3364" s="70"/>
    </row>
    <row r="3365" spans="14:14" x14ac:dyDescent="0.25">
      <c r="N3365" s="70"/>
    </row>
    <row r="3366" spans="14:14" x14ac:dyDescent="0.25">
      <c r="N3366" s="70"/>
    </row>
    <row r="3367" spans="14:14" x14ac:dyDescent="0.25">
      <c r="N3367" s="70"/>
    </row>
    <row r="3368" spans="14:14" x14ac:dyDescent="0.25">
      <c r="N3368" s="70"/>
    </row>
    <row r="3369" spans="14:14" x14ac:dyDescent="0.25">
      <c r="N3369" s="70"/>
    </row>
    <row r="3370" spans="14:14" x14ac:dyDescent="0.25">
      <c r="N3370" s="70"/>
    </row>
    <row r="3371" spans="14:14" x14ac:dyDescent="0.25">
      <c r="N3371" s="70"/>
    </row>
    <row r="3372" spans="14:14" x14ac:dyDescent="0.25">
      <c r="N3372" s="70"/>
    </row>
    <row r="3373" spans="14:14" x14ac:dyDescent="0.25">
      <c r="N3373" s="70"/>
    </row>
    <row r="3374" spans="14:14" x14ac:dyDescent="0.25">
      <c r="N3374" s="70"/>
    </row>
    <row r="3375" spans="14:14" x14ac:dyDescent="0.25">
      <c r="N3375" s="70"/>
    </row>
    <row r="3376" spans="14:14" x14ac:dyDescent="0.25">
      <c r="N3376" s="70"/>
    </row>
    <row r="3377" spans="14:14" x14ac:dyDescent="0.25">
      <c r="N3377" s="70"/>
    </row>
    <row r="3378" spans="14:14" x14ac:dyDescent="0.25">
      <c r="N3378" s="70"/>
    </row>
    <row r="3379" spans="14:14" x14ac:dyDescent="0.25">
      <c r="N3379" s="70"/>
    </row>
    <row r="3380" spans="14:14" x14ac:dyDescent="0.25">
      <c r="N3380" s="70"/>
    </row>
    <row r="3381" spans="14:14" x14ac:dyDescent="0.25">
      <c r="N3381" s="70"/>
    </row>
    <row r="3382" spans="14:14" x14ac:dyDescent="0.25">
      <c r="N3382" s="70"/>
    </row>
    <row r="3383" spans="14:14" x14ac:dyDescent="0.25">
      <c r="N3383" s="70"/>
    </row>
    <row r="3384" spans="14:14" x14ac:dyDescent="0.25">
      <c r="N3384" s="70"/>
    </row>
    <row r="3385" spans="14:14" x14ac:dyDescent="0.25">
      <c r="N3385" s="70"/>
    </row>
    <row r="3386" spans="14:14" x14ac:dyDescent="0.25">
      <c r="N3386" s="70"/>
    </row>
    <row r="3387" spans="14:14" x14ac:dyDescent="0.25">
      <c r="N3387" s="70"/>
    </row>
    <row r="3388" spans="14:14" x14ac:dyDescent="0.25">
      <c r="N3388" s="70"/>
    </row>
    <row r="3389" spans="14:14" x14ac:dyDescent="0.25">
      <c r="N3389" s="70"/>
    </row>
    <row r="3390" spans="14:14" x14ac:dyDescent="0.25">
      <c r="N3390" s="70"/>
    </row>
    <row r="3391" spans="14:14" x14ac:dyDescent="0.25">
      <c r="N3391" s="70"/>
    </row>
    <row r="3392" spans="14:14" x14ac:dyDescent="0.25">
      <c r="N3392" s="70"/>
    </row>
    <row r="3393" spans="14:14" x14ac:dyDescent="0.25">
      <c r="N3393" s="70"/>
    </row>
    <row r="3394" spans="14:14" x14ac:dyDescent="0.25">
      <c r="N3394" s="70"/>
    </row>
    <row r="3395" spans="14:14" x14ac:dyDescent="0.25">
      <c r="N3395" s="70"/>
    </row>
    <row r="3396" spans="14:14" x14ac:dyDescent="0.25">
      <c r="N3396" s="70"/>
    </row>
    <row r="3397" spans="14:14" x14ac:dyDescent="0.25">
      <c r="N3397" s="70"/>
    </row>
    <row r="3398" spans="14:14" x14ac:dyDescent="0.25">
      <c r="N3398" s="70"/>
    </row>
    <row r="3399" spans="14:14" x14ac:dyDescent="0.25">
      <c r="N3399" s="70"/>
    </row>
    <row r="3400" spans="14:14" x14ac:dyDescent="0.25">
      <c r="N3400" s="70"/>
    </row>
    <row r="3401" spans="14:14" x14ac:dyDescent="0.25">
      <c r="N3401" s="70"/>
    </row>
    <row r="3402" spans="14:14" x14ac:dyDescent="0.25">
      <c r="N3402" s="70"/>
    </row>
    <row r="3403" spans="14:14" x14ac:dyDescent="0.25">
      <c r="N3403" s="70"/>
    </row>
    <row r="3404" spans="14:14" x14ac:dyDescent="0.25">
      <c r="N3404" s="70"/>
    </row>
    <row r="3405" spans="14:14" x14ac:dyDescent="0.25">
      <c r="N3405" s="70"/>
    </row>
    <row r="3406" spans="14:14" x14ac:dyDescent="0.25">
      <c r="N3406" s="70"/>
    </row>
    <row r="3407" spans="14:14" x14ac:dyDescent="0.25">
      <c r="N3407" s="70"/>
    </row>
    <row r="3408" spans="14:14" x14ac:dyDescent="0.25">
      <c r="N3408" s="70"/>
    </row>
    <row r="3409" spans="14:14" x14ac:dyDescent="0.25">
      <c r="N3409" s="70"/>
    </row>
    <row r="3410" spans="14:14" x14ac:dyDescent="0.25">
      <c r="N3410" s="70"/>
    </row>
    <row r="3411" spans="14:14" x14ac:dyDescent="0.25">
      <c r="N3411" s="70"/>
    </row>
    <row r="3412" spans="14:14" x14ac:dyDescent="0.25">
      <c r="N3412" s="70"/>
    </row>
    <row r="3413" spans="14:14" x14ac:dyDescent="0.25">
      <c r="N3413" s="70"/>
    </row>
    <row r="3414" spans="14:14" x14ac:dyDescent="0.25">
      <c r="N3414" s="70"/>
    </row>
    <row r="3415" spans="14:14" x14ac:dyDescent="0.25">
      <c r="N3415" s="70"/>
    </row>
    <row r="3416" spans="14:14" x14ac:dyDescent="0.25">
      <c r="N3416" s="70"/>
    </row>
    <row r="3417" spans="14:14" x14ac:dyDescent="0.25">
      <c r="N3417" s="70"/>
    </row>
    <row r="3418" spans="14:14" x14ac:dyDescent="0.25">
      <c r="N3418" s="70"/>
    </row>
    <row r="3419" spans="14:14" x14ac:dyDescent="0.25">
      <c r="N3419" s="70"/>
    </row>
    <row r="3420" spans="14:14" x14ac:dyDescent="0.25">
      <c r="N3420" s="70"/>
    </row>
    <row r="3421" spans="14:14" x14ac:dyDescent="0.25">
      <c r="N3421" s="70"/>
    </row>
    <row r="3422" spans="14:14" x14ac:dyDescent="0.25">
      <c r="N3422" s="70"/>
    </row>
    <row r="3423" spans="14:14" x14ac:dyDescent="0.25">
      <c r="N3423" s="70"/>
    </row>
    <row r="3424" spans="14:14" x14ac:dyDescent="0.25">
      <c r="N3424" s="70"/>
    </row>
    <row r="3425" spans="14:14" x14ac:dyDescent="0.25">
      <c r="N3425" s="70"/>
    </row>
    <row r="3426" spans="14:14" x14ac:dyDescent="0.25">
      <c r="N3426" s="70"/>
    </row>
    <row r="3427" spans="14:14" x14ac:dyDescent="0.25">
      <c r="N3427" s="70"/>
    </row>
    <row r="3428" spans="14:14" x14ac:dyDescent="0.25">
      <c r="N3428" s="70"/>
    </row>
    <row r="3429" spans="14:14" x14ac:dyDescent="0.25">
      <c r="N3429" s="70"/>
    </row>
    <row r="3430" spans="14:14" x14ac:dyDescent="0.25">
      <c r="N3430" s="70"/>
    </row>
    <row r="3431" spans="14:14" x14ac:dyDescent="0.25">
      <c r="N3431" s="70"/>
    </row>
    <row r="3432" spans="14:14" x14ac:dyDescent="0.25">
      <c r="N3432" s="70"/>
    </row>
    <row r="3433" spans="14:14" x14ac:dyDescent="0.25">
      <c r="N3433" s="70"/>
    </row>
    <row r="3434" spans="14:14" x14ac:dyDescent="0.25">
      <c r="N3434" s="70"/>
    </row>
    <row r="3435" spans="14:14" x14ac:dyDescent="0.25">
      <c r="N3435" s="70"/>
    </row>
    <row r="3436" spans="14:14" x14ac:dyDescent="0.25">
      <c r="N3436" s="70"/>
    </row>
    <row r="3437" spans="14:14" x14ac:dyDescent="0.25">
      <c r="N3437" s="70"/>
    </row>
    <row r="3438" spans="14:14" x14ac:dyDescent="0.25">
      <c r="N3438" s="70"/>
    </row>
    <row r="3439" spans="14:14" x14ac:dyDescent="0.25">
      <c r="N3439" s="70"/>
    </row>
    <row r="3440" spans="14:14" x14ac:dyDescent="0.25">
      <c r="N3440" s="70"/>
    </row>
    <row r="3441" spans="14:14" x14ac:dyDescent="0.25">
      <c r="N3441" s="70"/>
    </row>
    <row r="3442" spans="14:14" x14ac:dyDescent="0.25">
      <c r="N3442" s="70"/>
    </row>
    <row r="3443" spans="14:14" x14ac:dyDescent="0.25">
      <c r="N3443" s="70"/>
    </row>
    <row r="3444" spans="14:14" x14ac:dyDescent="0.25">
      <c r="N3444" s="70"/>
    </row>
    <row r="3445" spans="14:14" x14ac:dyDescent="0.25">
      <c r="N3445" s="70"/>
    </row>
    <row r="3446" spans="14:14" x14ac:dyDescent="0.25">
      <c r="N3446" s="70"/>
    </row>
    <row r="3447" spans="14:14" x14ac:dyDescent="0.25">
      <c r="N3447" s="70"/>
    </row>
    <row r="3448" spans="14:14" x14ac:dyDescent="0.25">
      <c r="N3448" s="70"/>
    </row>
    <row r="3449" spans="14:14" x14ac:dyDescent="0.25">
      <c r="N3449" s="70"/>
    </row>
    <row r="3450" spans="14:14" x14ac:dyDescent="0.25">
      <c r="N3450" s="70"/>
    </row>
    <row r="3451" spans="14:14" x14ac:dyDescent="0.25">
      <c r="N3451" s="70"/>
    </row>
    <row r="3452" spans="14:14" x14ac:dyDescent="0.25">
      <c r="N3452" s="70"/>
    </row>
    <row r="3453" spans="14:14" x14ac:dyDescent="0.25">
      <c r="N3453" s="70"/>
    </row>
    <row r="3454" spans="14:14" x14ac:dyDescent="0.25">
      <c r="N3454" s="70"/>
    </row>
    <row r="3455" spans="14:14" x14ac:dyDescent="0.25">
      <c r="N3455" s="70"/>
    </row>
    <row r="3456" spans="14:14" x14ac:dyDescent="0.25">
      <c r="N3456" s="70"/>
    </row>
    <row r="3457" spans="14:14" x14ac:dyDescent="0.25">
      <c r="N3457" s="70"/>
    </row>
    <row r="3458" spans="14:14" x14ac:dyDescent="0.25">
      <c r="N3458" s="70"/>
    </row>
    <row r="3459" spans="14:14" x14ac:dyDescent="0.25">
      <c r="N3459" s="70"/>
    </row>
    <row r="3460" spans="14:14" x14ac:dyDescent="0.25">
      <c r="N3460" s="70"/>
    </row>
    <row r="3461" spans="14:14" x14ac:dyDescent="0.25">
      <c r="N3461" s="70"/>
    </row>
    <row r="3462" spans="14:14" x14ac:dyDescent="0.25">
      <c r="N3462" s="70"/>
    </row>
    <row r="3463" spans="14:14" x14ac:dyDescent="0.25">
      <c r="N3463" s="70"/>
    </row>
    <row r="3464" spans="14:14" x14ac:dyDescent="0.25">
      <c r="N3464" s="70"/>
    </row>
    <row r="3465" spans="14:14" x14ac:dyDescent="0.25">
      <c r="N3465" s="70"/>
    </row>
    <row r="3466" spans="14:14" x14ac:dyDescent="0.25">
      <c r="N3466" s="70"/>
    </row>
    <row r="3467" spans="14:14" x14ac:dyDescent="0.25">
      <c r="N3467" s="70"/>
    </row>
    <row r="3468" spans="14:14" x14ac:dyDescent="0.25">
      <c r="N3468" s="70"/>
    </row>
    <row r="3469" spans="14:14" x14ac:dyDescent="0.25">
      <c r="N3469" s="70"/>
    </row>
    <row r="3470" spans="14:14" x14ac:dyDescent="0.25">
      <c r="N3470" s="70"/>
    </row>
    <row r="3471" spans="14:14" x14ac:dyDescent="0.25">
      <c r="N3471" s="70"/>
    </row>
    <row r="3472" spans="14:14" x14ac:dyDescent="0.25">
      <c r="N3472" s="70"/>
    </row>
    <row r="3473" spans="14:14" x14ac:dyDescent="0.25">
      <c r="N3473" s="70"/>
    </row>
    <row r="3474" spans="14:14" x14ac:dyDescent="0.25">
      <c r="N3474" s="70"/>
    </row>
    <row r="3475" spans="14:14" x14ac:dyDescent="0.25">
      <c r="N3475" s="70"/>
    </row>
    <row r="3476" spans="14:14" x14ac:dyDescent="0.25">
      <c r="N3476" s="70"/>
    </row>
    <row r="3477" spans="14:14" x14ac:dyDescent="0.25">
      <c r="N3477" s="70"/>
    </row>
    <row r="3478" spans="14:14" x14ac:dyDescent="0.25">
      <c r="N3478" s="70"/>
    </row>
    <row r="3479" spans="14:14" x14ac:dyDescent="0.25">
      <c r="N3479" s="70"/>
    </row>
    <row r="3480" spans="14:14" x14ac:dyDescent="0.25">
      <c r="N3480" s="70"/>
    </row>
    <row r="3481" spans="14:14" x14ac:dyDescent="0.25">
      <c r="N3481" s="70"/>
    </row>
    <row r="3482" spans="14:14" x14ac:dyDescent="0.25">
      <c r="N3482" s="70"/>
    </row>
    <row r="3483" spans="14:14" x14ac:dyDescent="0.25">
      <c r="N3483" s="70"/>
    </row>
    <row r="3484" spans="14:14" x14ac:dyDescent="0.25">
      <c r="N3484" s="70"/>
    </row>
    <row r="3485" spans="14:14" x14ac:dyDescent="0.25">
      <c r="N3485" s="70"/>
    </row>
    <row r="3486" spans="14:14" x14ac:dyDescent="0.25">
      <c r="N3486" s="70"/>
    </row>
    <row r="3487" spans="14:14" x14ac:dyDescent="0.25">
      <c r="N3487" s="70"/>
    </row>
    <row r="3488" spans="14:14" x14ac:dyDescent="0.25">
      <c r="N3488" s="70"/>
    </row>
    <row r="3489" spans="14:14" x14ac:dyDescent="0.25">
      <c r="N3489" s="70"/>
    </row>
    <row r="3490" spans="14:14" x14ac:dyDescent="0.25">
      <c r="N3490" s="70"/>
    </row>
    <row r="3491" spans="14:14" x14ac:dyDescent="0.25">
      <c r="N3491" s="70"/>
    </row>
    <row r="3492" spans="14:14" x14ac:dyDescent="0.25">
      <c r="N3492" s="70"/>
    </row>
    <row r="3493" spans="14:14" x14ac:dyDescent="0.25">
      <c r="N3493" s="70"/>
    </row>
    <row r="3494" spans="14:14" x14ac:dyDescent="0.25">
      <c r="N3494" s="70"/>
    </row>
    <row r="3495" spans="14:14" x14ac:dyDescent="0.25">
      <c r="N3495" s="70"/>
    </row>
    <row r="3496" spans="14:14" x14ac:dyDescent="0.25">
      <c r="N3496" s="70"/>
    </row>
    <row r="3497" spans="14:14" x14ac:dyDescent="0.25">
      <c r="N3497" s="70"/>
    </row>
    <row r="3498" spans="14:14" x14ac:dyDescent="0.25">
      <c r="N3498" s="70"/>
    </row>
    <row r="3499" spans="14:14" x14ac:dyDescent="0.25">
      <c r="N3499" s="70"/>
    </row>
    <row r="3500" spans="14:14" x14ac:dyDescent="0.25">
      <c r="N3500" s="70"/>
    </row>
    <row r="3501" spans="14:14" x14ac:dyDescent="0.25">
      <c r="N3501" s="70"/>
    </row>
    <row r="3502" spans="14:14" x14ac:dyDescent="0.25">
      <c r="N3502" s="70"/>
    </row>
    <row r="3503" spans="14:14" x14ac:dyDescent="0.25">
      <c r="N3503" s="70"/>
    </row>
    <row r="3504" spans="14:14" x14ac:dyDescent="0.25">
      <c r="N3504" s="70"/>
    </row>
    <row r="3505" spans="14:14" x14ac:dyDescent="0.25">
      <c r="N3505" s="70"/>
    </row>
    <row r="3506" spans="14:14" x14ac:dyDescent="0.25">
      <c r="N3506" s="70"/>
    </row>
    <row r="3507" spans="14:14" x14ac:dyDescent="0.25">
      <c r="N3507" s="70"/>
    </row>
    <row r="3508" spans="14:14" x14ac:dyDescent="0.25">
      <c r="N3508" s="70"/>
    </row>
    <row r="3509" spans="14:14" x14ac:dyDescent="0.25">
      <c r="N3509" s="70"/>
    </row>
    <row r="3510" spans="14:14" x14ac:dyDescent="0.25">
      <c r="N3510" s="70"/>
    </row>
    <row r="3511" spans="14:14" x14ac:dyDescent="0.25">
      <c r="N3511" s="70"/>
    </row>
    <row r="3512" spans="14:14" x14ac:dyDescent="0.25">
      <c r="N3512" s="70"/>
    </row>
    <row r="3513" spans="14:14" x14ac:dyDescent="0.25">
      <c r="N3513" s="70"/>
    </row>
    <row r="3514" spans="14:14" x14ac:dyDescent="0.25">
      <c r="N3514" s="70"/>
    </row>
    <row r="3515" spans="14:14" x14ac:dyDescent="0.25">
      <c r="N3515" s="70"/>
    </row>
    <row r="3516" spans="14:14" x14ac:dyDescent="0.25">
      <c r="N3516" s="70"/>
    </row>
    <row r="3517" spans="14:14" x14ac:dyDescent="0.25">
      <c r="N3517" s="70"/>
    </row>
    <row r="3518" spans="14:14" x14ac:dyDescent="0.25">
      <c r="N3518" s="70"/>
    </row>
    <row r="3519" spans="14:14" x14ac:dyDescent="0.25">
      <c r="N3519" s="70"/>
    </row>
    <row r="3520" spans="14:14" x14ac:dyDescent="0.25">
      <c r="N3520" s="70"/>
    </row>
    <row r="3521" spans="14:14" x14ac:dyDescent="0.25">
      <c r="N3521" s="70"/>
    </row>
    <row r="3522" spans="14:14" x14ac:dyDescent="0.25">
      <c r="N3522" s="70"/>
    </row>
    <row r="3523" spans="14:14" x14ac:dyDescent="0.25">
      <c r="N3523" s="70"/>
    </row>
    <row r="3524" spans="14:14" x14ac:dyDescent="0.25">
      <c r="N3524" s="70"/>
    </row>
    <row r="3525" spans="14:14" x14ac:dyDescent="0.25">
      <c r="N3525" s="70"/>
    </row>
    <row r="3526" spans="14:14" x14ac:dyDescent="0.25">
      <c r="N3526" s="70"/>
    </row>
    <row r="3527" spans="14:14" x14ac:dyDescent="0.25">
      <c r="N3527" s="70"/>
    </row>
    <row r="3528" spans="14:14" x14ac:dyDescent="0.25">
      <c r="N3528" s="70"/>
    </row>
    <row r="3529" spans="14:14" x14ac:dyDescent="0.25">
      <c r="N3529" s="70"/>
    </row>
    <row r="3530" spans="14:14" x14ac:dyDescent="0.25">
      <c r="N3530" s="70"/>
    </row>
    <row r="3531" spans="14:14" x14ac:dyDescent="0.25">
      <c r="N3531" s="70"/>
    </row>
    <row r="3532" spans="14:14" x14ac:dyDescent="0.25">
      <c r="N3532" s="70"/>
    </row>
    <row r="3533" spans="14:14" x14ac:dyDescent="0.25">
      <c r="N3533" s="70"/>
    </row>
    <row r="3534" spans="14:14" x14ac:dyDescent="0.25">
      <c r="N3534" s="70"/>
    </row>
    <row r="3535" spans="14:14" x14ac:dyDescent="0.25">
      <c r="N3535" s="70"/>
    </row>
    <row r="3536" spans="14:14" x14ac:dyDescent="0.25">
      <c r="N3536" s="70"/>
    </row>
    <row r="3537" spans="14:14" x14ac:dyDescent="0.25">
      <c r="N3537" s="70"/>
    </row>
    <row r="3538" spans="14:14" x14ac:dyDescent="0.25">
      <c r="N3538" s="70"/>
    </row>
    <row r="3539" spans="14:14" x14ac:dyDescent="0.25">
      <c r="N3539" s="70"/>
    </row>
    <row r="3540" spans="14:14" x14ac:dyDescent="0.25">
      <c r="N3540" s="70"/>
    </row>
    <row r="3541" spans="14:14" x14ac:dyDescent="0.25">
      <c r="N3541" s="70"/>
    </row>
    <row r="3542" spans="14:14" x14ac:dyDescent="0.25">
      <c r="N3542" s="70"/>
    </row>
    <row r="3543" spans="14:14" x14ac:dyDescent="0.25">
      <c r="N3543" s="70"/>
    </row>
    <row r="3544" spans="14:14" x14ac:dyDescent="0.25">
      <c r="N3544" s="70"/>
    </row>
    <row r="3545" spans="14:14" x14ac:dyDescent="0.25">
      <c r="N3545" s="70"/>
    </row>
    <row r="3546" spans="14:14" x14ac:dyDescent="0.25">
      <c r="N3546" s="70"/>
    </row>
    <row r="3547" spans="14:14" x14ac:dyDescent="0.25">
      <c r="N3547" s="70"/>
    </row>
    <row r="3548" spans="14:14" x14ac:dyDescent="0.25">
      <c r="N3548" s="70"/>
    </row>
    <row r="3549" spans="14:14" x14ac:dyDescent="0.25">
      <c r="N3549" s="70"/>
    </row>
    <row r="3550" spans="14:14" x14ac:dyDescent="0.25">
      <c r="N3550" s="70"/>
    </row>
    <row r="3551" spans="14:14" x14ac:dyDescent="0.25">
      <c r="N3551" s="70"/>
    </row>
    <row r="3552" spans="14:14" x14ac:dyDescent="0.25">
      <c r="N3552" s="70"/>
    </row>
    <row r="3553" spans="14:14" x14ac:dyDescent="0.25">
      <c r="N3553" s="70"/>
    </row>
    <row r="3554" spans="14:14" x14ac:dyDescent="0.25">
      <c r="N3554" s="70"/>
    </row>
    <row r="3555" spans="14:14" x14ac:dyDescent="0.25">
      <c r="N3555" s="70"/>
    </row>
    <row r="3556" spans="14:14" x14ac:dyDescent="0.25">
      <c r="N3556" s="70"/>
    </row>
    <row r="3557" spans="14:14" x14ac:dyDescent="0.25">
      <c r="N3557" s="70"/>
    </row>
    <row r="3558" spans="14:14" x14ac:dyDescent="0.25">
      <c r="N3558" s="70"/>
    </row>
    <row r="3559" spans="14:14" x14ac:dyDescent="0.25">
      <c r="N3559" s="70"/>
    </row>
    <row r="3560" spans="14:14" x14ac:dyDescent="0.25">
      <c r="N3560" s="70"/>
    </row>
    <row r="3561" spans="14:14" x14ac:dyDescent="0.25">
      <c r="N3561" s="70"/>
    </row>
    <row r="3562" spans="14:14" x14ac:dyDescent="0.25">
      <c r="N3562" s="70"/>
    </row>
    <row r="3563" spans="14:14" x14ac:dyDescent="0.25">
      <c r="N3563" s="70"/>
    </row>
    <row r="3564" spans="14:14" x14ac:dyDescent="0.25">
      <c r="N3564" s="70"/>
    </row>
    <row r="3565" spans="14:14" x14ac:dyDescent="0.25">
      <c r="N3565" s="70"/>
    </row>
    <row r="3566" spans="14:14" x14ac:dyDescent="0.25">
      <c r="N3566" s="70"/>
    </row>
    <row r="3567" spans="14:14" x14ac:dyDescent="0.25">
      <c r="N3567" s="70"/>
    </row>
    <row r="3568" spans="14:14" x14ac:dyDescent="0.25">
      <c r="N3568" s="70"/>
    </row>
    <row r="3569" spans="14:14" x14ac:dyDescent="0.25">
      <c r="N3569" s="70"/>
    </row>
    <row r="3570" spans="14:14" x14ac:dyDescent="0.25">
      <c r="N3570" s="70"/>
    </row>
    <row r="3571" spans="14:14" x14ac:dyDescent="0.25">
      <c r="N3571" s="70"/>
    </row>
    <row r="3572" spans="14:14" x14ac:dyDescent="0.25">
      <c r="N3572" s="70"/>
    </row>
    <row r="3573" spans="14:14" x14ac:dyDescent="0.25">
      <c r="N3573" s="70"/>
    </row>
    <row r="3574" spans="14:14" x14ac:dyDescent="0.25">
      <c r="N3574" s="70"/>
    </row>
    <row r="3575" spans="14:14" x14ac:dyDescent="0.25">
      <c r="N3575" s="70"/>
    </row>
    <row r="3576" spans="14:14" x14ac:dyDescent="0.25">
      <c r="N3576" s="70"/>
    </row>
    <row r="3577" spans="14:14" x14ac:dyDescent="0.25">
      <c r="N3577" s="70"/>
    </row>
    <row r="3578" spans="14:14" x14ac:dyDescent="0.25">
      <c r="N3578" s="70"/>
    </row>
    <row r="3579" spans="14:14" x14ac:dyDescent="0.25">
      <c r="N3579" s="70"/>
    </row>
    <row r="3580" spans="14:14" x14ac:dyDescent="0.25">
      <c r="N3580" s="70"/>
    </row>
    <row r="3581" spans="14:14" x14ac:dyDescent="0.25">
      <c r="N3581" s="70"/>
    </row>
    <row r="3582" spans="14:14" x14ac:dyDescent="0.25">
      <c r="N3582" s="70"/>
    </row>
    <row r="3583" spans="14:14" x14ac:dyDescent="0.25">
      <c r="N3583" s="70"/>
    </row>
    <row r="3584" spans="14:14" x14ac:dyDescent="0.25">
      <c r="N3584" s="70"/>
    </row>
    <row r="3585" spans="14:14" x14ac:dyDescent="0.25">
      <c r="N3585" s="70"/>
    </row>
    <row r="3586" spans="14:14" x14ac:dyDescent="0.25">
      <c r="N3586" s="70"/>
    </row>
    <row r="3587" spans="14:14" x14ac:dyDescent="0.25">
      <c r="N3587" s="70"/>
    </row>
    <row r="3588" spans="14:14" x14ac:dyDescent="0.25">
      <c r="N3588" s="70"/>
    </row>
    <row r="3589" spans="14:14" x14ac:dyDescent="0.25">
      <c r="N3589" s="70"/>
    </row>
    <row r="3590" spans="14:14" x14ac:dyDescent="0.25">
      <c r="N3590" s="70"/>
    </row>
    <row r="3591" spans="14:14" x14ac:dyDescent="0.25">
      <c r="N3591" s="70"/>
    </row>
    <row r="3592" spans="14:14" x14ac:dyDescent="0.25">
      <c r="N3592" s="70"/>
    </row>
    <row r="3593" spans="14:14" x14ac:dyDescent="0.25">
      <c r="N3593" s="70"/>
    </row>
    <row r="3594" spans="14:14" x14ac:dyDescent="0.25">
      <c r="N3594" s="70"/>
    </row>
    <row r="3595" spans="14:14" x14ac:dyDescent="0.25">
      <c r="N3595" s="70"/>
    </row>
    <row r="3596" spans="14:14" x14ac:dyDescent="0.25">
      <c r="N3596" s="70"/>
    </row>
    <row r="3597" spans="14:14" x14ac:dyDescent="0.25">
      <c r="N3597" s="70"/>
    </row>
    <row r="3598" spans="14:14" x14ac:dyDescent="0.25">
      <c r="N3598" s="70"/>
    </row>
    <row r="3599" spans="14:14" x14ac:dyDescent="0.25">
      <c r="N3599" s="70"/>
    </row>
    <row r="3600" spans="14:14" x14ac:dyDescent="0.25">
      <c r="N3600" s="70"/>
    </row>
    <row r="3601" spans="14:14" x14ac:dyDescent="0.25">
      <c r="N3601" s="70"/>
    </row>
    <row r="3602" spans="14:14" x14ac:dyDescent="0.25">
      <c r="N3602" s="70"/>
    </row>
    <row r="3603" spans="14:14" x14ac:dyDescent="0.25">
      <c r="N3603" s="70"/>
    </row>
    <row r="3604" spans="14:14" x14ac:dyDescent="0.25">
      <c r="N3604" s="70"/>
    </row>
    <row r="3605" spans="14:14" x14ac:dyDescent="0.25">
      <c r="N3605" s="70"/>
    </row>
    <row r="3606" spans="14:14" x14ac:dyDescent="0.25">
      <c r="N3606" s="70"/>
    </row>
    <row r="3607" spans="14:14" x14ac:dyDescent="0.25">
      <c r="N3607" s="70"/>
    </row>
    <row r="3608" spans="14:14" x14ac:dyDescent="0.25">
      <c r="N3608" s="70"/>
    </row>
    <row r="3609" spans="14:14" x14ac:dyDescent="0.25">
      <c r="N3609" s="70"/>
    </row>
    <row r="3610" spans="14:14" x14ac:dyDescent="0.25">
      <c r="N3610" s="70"/>
    </row>
    <row r="3611" spans="14:14" x14ac:dyDescent="0.25">
      <c r="N3611" s="70"/>
    </row>
    <row r="3612" spans="14:14" x14ac:dyDescent="0.25">
      <c r="N3612" s="70"/>
    </row>
    <row r="3613" spans="14:14" x14ac:dyDescent="0.25">
      <c r="N3613" s="70"/>
    </row>
    <row r="3614" spans="14:14" x14ac:dyDescent="0.25">
      <c r="N3614" s="70"/>
    </row>
    <row r="3615" spans="14:14" x14ac:dyDescent="0.25">
      <c r="N3615" s="70"/>
    </row>
    <row r="3616" spans="14:14" x14ac:dyDescent="0.25">
      <c r="N3616" s="70"/>
    </row>
    <row r="3617" spans="14:14" x14ac:dyDescent="0.25">
      <c r="N3617" s="70"/>
    </row>
    <row r="3618" spans="14:14" x14ac:dyDescent="0.25">
      <c r="N3618" s="70"/>
    </row>
    <row r="3619" spans="14:14" x14ac:dyDescent="0.25">
      <c r="N3619" s="70"/>
    </row>
    <row r="3620" spans="14:14" x14ac:dyDescent="0.25">
      <c r="N3620" s="70"/>
    </row>
    <row r="3621" spans="14:14" x14ac:dyDescent="0.25">
      <c r="N3621" s="70"/>
    </row>
    <row r="3622" spans="14:14" x14ac:dyDescent="0.25">
      <c r="N3622" s="70"/>
    </row>
    <row r="3623" spans="14:14" x14ac:dyDescent="0.25">
      <c r="N3623" s="70"/>
    </row>
    <row r="3624" spans="14:14" x14ac:dyDescent="0.25">
      <c r="N3624" s="70"/>
    </row>
    <row r="3625" spans="14:14" x14ac:dyDescent="0.25">
      <c r="N3625" s="70"/>
    </row>
    <row r="3626" spans="14:14" x14ac:dyDescent="0.25">
      <c r="N3626" s="70"/>
    </row>
    <row r="3627" spans="14:14" x14ac:dyDescent="0.25">
      <c r="N3627" s="70"/>
    </row>
    <row r="3628" spans="14:14" x14ac:dyDescent="0.25">
      <c r="N3628" s="70"/>
    </row>
    <row r="3629" spans="14:14" x14ac:dyDescent="0.25">
      <c r="N3629" s="70"/>
    </row>
    <row r="3630" spans="14:14" x14ac:dyDescent="0.25">
      <c r="N3630" s="70"/>
    </row>
    <row r="3631" spans="14:14" x14ac:dyDescent="0.25">
      <c r="N3631" s="70"/>
    </row>
    <row r="3632" spans="14:14" x14ac:dyDescent="0.25">
      <c r="N3632" s="70"/>
    </row>
    <row r="3633" spans="14:14" x14ac:dyDescent="0.25">
      <c r="N3633" s="70"/>
    </row>
    <row r="3634" spans="14:14" x14ac:dyDescent="0.25">
      <c r="N3634" s="70"/>
    </row>
    <row r="3635" spans="14:14" x14ac:dyDescent="0.25">
      <c r="N3635" s="70"/>
    </row>
    <row r="3636" spans="14:14" x14ac:dyDescent="0.25">
      <c r="N3636" s="70"/>
    </row>
    <row r="3637" spans="14:14" x14ac:dyDescent="0.25">
      <c r="N3637" s="70"/>
    </row>
    <row r="3638" spans="14:14" x14ac:dyDescent="0.25">
      <c r="N3638" s="70"/>
    </row>
    <row r="3639" spans="14:14" x14ac:dyDescent="0.25">
      <c r="N3639" s="70"/>
    </row>
    <row r="3640" spans="14:14" x14ac:dyDescent="0.25">
      <c r="N3640" s="70"/>
    </row>
    <row r="3641" spans="14:14" x14ac:dyDescent="0.25">
      <c r="N3641" s="70"/>
    </row>
    <row r="3642" spans="14:14" x14ac:dyDescent="0.25">
      <c r="N3642" s="70"/>
    </row>
    <row r="3643" spans="14:14" x14ac:dyDescent="0.25">
      <c r="N3643" s="70"/>
    </row>
    <row r="3644" spans="14:14" x14ac:dyDescent="0.25">
      <c r="N3644" s="70"/>
    </row>
    <row r="3645" spans="14:14" x14ac:dyDescent="0.25">
      <c r="N3645" s="70"/>
    </row>
    <row r="3646" spans="14:14" x14ac:dyDescent="0.25">
      <c r="N3646" s="70"/>
    </row>
    <row r="3647" spans="14:14" x14ac:dyDescent="0.25">
      <c r="N3647" s="70"/>
    </row>
    <row r="3648" spans="14:14" x14ac:dyDescent="0.25">
      <c r="N3648" s="70"/>
    </row>
    <row r="3649" spans="14:14" x14ac:dyDescent="0.25">
      <c r="N3649" s="70"/>
    </row>
    <row r="3650" spans="14:14" x14ac:dyDescent="0.25">
      <c r="N3650" s="70"/>
    </row>
    <row r="3651" spans="14:14" x14ac:dyDescent="0.25">
      <c r="N3651" s="70"/>
    </row>
    <row r="3652" spans="14:14" x14ac:dyDescent="0.25">
      <c r="N3652" s="70"/>
    </row>
    <row r="3653" spans="14:14" x14ac:dyDescent="0.25">
      <c r="N3653" s="70"/>
    </row>
    <row r="3654" spans="14:14" x14ac:dyDescent="0.25">
      <c r="N3654" s="70"/>
    </row>
    <row r="3655" spans="14:14" x14ac:dyDescent="0.25">
      <c r="N3655" s="70"/>
    </row>
    <row r="3656" spans="14:14" x14ac:dyDescent="0.25">
      <c r="N3656" s="70"/>
    </row>
    <row r="3657" spans="14:14" x14ac:dyDescent="0.25">
      <c r="N3657" s="70"/>
    </row>
    <row r="3658" spans="14:14" x14ac:dyDescent="0.25">
      <c r="N3658" s="70"/>
    </row>
    <row r="3659" spans="14:14" x14ac:dyDescent="0.25">
      <c r="N3659" s="70"/>
    </row>
  </sheetData>
  <mergeCells count="28">
    <mergeCell ref="F20:G20"/>
    <mergeCell ref="H20:J20"/>
    <mergeCell ref="F16:J16"/>
    <mergeCell ref="F17:G17"/>
    <mergeCell ref="H17:J17"/>
    <mergeCell ref="F18:G18"/>
    <mergeCell ref="H18:J18"/>
    <mergeCell ref="F19:G19"/>
    <mergeCell ref="H19:J19"/>
    <mergeCell ref="F10:G10"/>
    <mergeCell ref="H10:J10"/>
    <mergeCell ref="F12:J12"/>
    <mergeCell ref="F13:G13"/>
    <mergeCell ref="H13:J13"/>
    <mergeCell ref="F14:G14"/>
    <mergeCell ref="H14:J14"/>
    <mergeCell ref="F7:G7"/>
    <mergeCell ref="H7:J7"/>
    <mergeCell ref="F8:G8"/>
    <mergeCell ref="H8:J8"/>
    <mergeCell ref="F9:G9"/>
    <mergeCell ref="H9:J9"/>
    <mergeCell ref="F2:J2"/>
    <mergeCell ref="F4:J4"/>
    <mergeCell ref="F5:G5"/>
    <mergeCell ref="H5:J5"/>
    <mergeCell ref="F6:G6"/>
    <mergeCell ref="H6:J6"/>
  </mergeCells>
  <dataValidations count="7">
    <dataValidation type="decimal" allowBlank="1" showInputMessage="1" showErrorMessage="1" sqref="H8:J8" xr:uid="{7E7E98AB-6E04-457E-9683-021015D44F4A}">
      <formula1>0</formula1>
      <formula2>2</formula2>
    </dataValidation>
    <dataValidation type="list" allowBlank="1" showInputMessage="1" showErrorMessage="1" sqref="H13:J13" xr:uid="{F73DC7CA-B8D2-41DD-808A-6AEBAD0BA3A7}">
      <formula1>"30/360"</formula1>
    </dataValidation>
    <dataValidation type="list" allowBlank="1" showInputMessage="1" showErrorMessage="1" sqref="H7:J7" xr:uid="{5AB284DE-5E07-4A99-81B1-EBCD3333CF31}">
      <formula1>"Mensual,Quarter,Semester,Annual,Zero coupon"</formula1>
    </dataValidation>
    <dataValidation type="date" allowBlank="1" showInputMessage="1" showErrorMessage="1" sqref="H5:J5" xr:uid="{D45654A0-8A19-407C-9EE7-95E56D6658F5}">
      <formula1>36526</formula1>
      <formula2>73051</formula2>
    </dataValidation>
    <dataValidation type="date" operator="greaterThan" allowBlank="1" showInputMessage="1" showErrorMessage="1" sqref="H6:J6" xr:uid="{C4C80264-F7C3-49CE-92DF-74B793D7C9C3}">
      <formula1>H5</formula1>
    </dataValidation>
    <dataValidation type="whole" operator="greaterThan" allowBlank="1" showInputMessage="1" showErrorMessage="1" sqref="H9:J9" xr:uid="{192E0250-DAB4-4A87-B102-2CE1DAC60AD4}">
      <formula1>0</formula1>
    </dataValidation>
    <dataValidation type="date" allowBlank="1" showInputMessage="1" showErrorMessage="1" sqref="H14:J14" xr:uid="{085ABFA1-90C8-4B2C-8D97-A00A1CD98378}">
      <formula1>H5</formula1>
      <formula2>H6</formula2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PricerBond">
                <anchor moveWithCells="1" sizeWithCells="1">
                  <from>
                    <xdr:col>4</xdr:col>
                    <xdr:colOff>600075</xdr:colOff>
                    <xdr:row>22</xdr:row>
                    <xdr:rowOff>9525</xdr:rowOff>
                  </from>
                  <to>
                    <xdr:col>9</xdr:col>
                    <xdr:colOff>600075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4983-5306-4EBF-92C7-83BA04D0E353}">
  <sheetPr codeName="Sheet5"/>
  <dimension ref="A2:T23"/>
  <sheetViews>
    <sheetView showGridLines="0" tabSelected="1" topLeftCell="A3" workbookViewId="0">
      <selection activeCell="B13" sqref="B13"/>
    </sheetView>
  </sheetViews>
  <sheetFormatPr defaultRowHeight="15" x14ac:dyDescent="0.25"/>
  <cols>
    <col min="1" max="1" width="52.85546875" customWidth="1"/>
    <col min="6" max="6" width="73.140625" customWidth="1"/>
    <col min="7" max="7" width="15.7109375" bestFit="1" customWidth="1"/>
    <col min="8" max="8" width="18.85546875" customWidth="1"/>
    <col min="9" max="9" width="21.140625" customWidth="1"/>
    <col min="10" max="10" width="11.7109375" bestFit="1" customWidth="1"/>
    <col min="11" max="11" width="15.140625" customWidth="1"/>
    <col min="12" max="12" width="7.42578125" customWidth="1"/>
    <col min="13" max="13" width="9.140625" customWidth="1"/>
    <col min="14" max="14" width="10" customWidth="1"/>
    <col min="15" max="15" width="9.140625" customWidth="1"/>
    <col min="16" max="16" width="14.42578125" customWidth="1"/>
    <col min="17" max="18" width="9.140625" customWidth="1"/>
    <col min="20" max="20" width="14.140625" bestFit="1" customWidth="1"/>
  </cols>
  <sheetData>
    <row r="2" spans="1:16" x14ac:dyDescent="0.25">
      <c r="H2" t="s">
        <v>31</v>
      </c>
      <c r="I2" s="65" t="s">
        <v>32</v>
      </c>
    </row>
    <row r="3" spans="1:16" x14ac:dyDescent="0.25">
      <c r="H3" t="s">
        <v>33</v>
      </c>
    </row>
    <row r="5" spans="1:16" x14ac:dyDescent="0.25">
      <c r="A5" t="s">
        <v>88</v>
      </c>
      <c r="F5" s="66" t="s">
        <v>34</v>
      </c>
      <c r="H5" s="67" t="s">
        <v>35</v>
      </c>
      <c r="I5" s="67" t="s">
        <v>36</v>
      </c>
      <c r="J5" s="67" t="s">
        <v>37</v>
      </c>
      <c r="K5" s="67" t="s">
        <v>38</v>
      </c>
      <c r="L5" s="67" t="s">
        <v>39</v>
      </c>
      <c r="M5" s="68" t="s">
        <v>40</v>
      </c>
      <c r="N5" s="67" t="s">
        <v>41</v>
      </c>
      <c r="O5" s="67" t="s">
        <v>42</v>
      </c>
      <c r="P5" s="67" t="s">
        <v>43</v>
      </c>
    </row>
    <row r="6" spans="1:16" ht="18.600000000000001" customHeight="1" x14ac:dyDescent="0.25">
      <c r="A6" t="s">
        <v>89</v>
      </c>
      <c r="B6" t="s">
        <v>46</v>
      </c>
      <c r="F6" s="69" t="s">
        <v>44</v>
      </c>
      <c r="H6" s="67" t="s">
        <v>45</v>
      </c>
      <c r="I6" s="70">
        <v>43000</v>
      </c>
      <c r="J6" s="67" t="s">
        <v>46</v>
      </c>
      <c r="K6" s="67" t="s">
        <v>47</v>
      </c>
      <c r="L6" s="67">
        <v>3550</v>
      </c>
      <c r="M6" s="68">
        <v>28.933333300000001</v>
      </c>
      <c r="N6" s="67">
        <v>450</v>
      </c>
      <c r="O6" s="67" t="s">
        <v>48</v>
      </c>
      <c r="P6" s="71">
        <v>43933</v>
      </c>
    </row>
    <row r="7" spans="1:16" ht="18.600000000000001" customHeight="1" x14ac:dyDescent="0.25">
      <c r="A7" t="s">
        <v>90</v>
      </c>
      <c r="B7" t="s">
        <v>51</v>
      </c>
      <c r="F7" s="69" t="s">
        <v>49</v>
      </c>
      <c r="H7" s="67" t="s">
        <v>50</v>
      </c>
      <c r="I7" s="70">
        <v>43000</v>
      </c>
      <c r="J7" s="67" t="s">
        <v>51</v>
      </c>
      <c r="K7" s="67" t="s">
        <v>52</v>
      </c>
      <c r="L7" s="67">
        <v>3550</v>
      </c>
      <c r="M7" s="68">
        <v>28</v>
      </c>
      <c r="N7" s="67">
        <v>450</v>
      </c>
      <c r="O7" s="67" t="s">
        <v>53</v>
      </c>
      <c r="P7" s="71">
        <v>43933</v>
      </c>
    </row>
    <row r="8" spans="1:16" ht="18.600000000000001" customHeight="1" x14ac:dyDescent="0.25">
      <c r="A8" t="s">
        <v>91</v>
      </c>
      <c r="B8" t="s">
        <v>92</v>
      </c>
      <c r="F8" s="69" t="s">
        <v>54</v>
      </c>
      <c r="H8" s="67" t="s">
        <v>55</v>
      </c>
      <c r="I8" s="72">
        <f ca="1">TODAY()</f>
        <v>46002</v>
      </c>
      <c r="J8" s="67" t="s">
        <v>51</v>
      </c>
      <c r="K8" s="67" t="s">
        <v>56</v>
      </c>
      <c r="L8" s="67"/>
      <c r="M8" s="68">
        <v>10523</v>
      </c>
      <c r="N8" s="67">
        <v>118</v>
      </c>
      <c r="O8" s="67" t="s">
        <v>57</v>
      </c>
      <c r="P8" s="71">
        <v>44274</v>
      </c>
    </row>
    <row r="9" spans="1:16" ht="18.600000000000001" customHeight="1" x14ac:dyDescent="0.25">
      <c r="A9" t="s">
        <v>45</v>
      </c>
      <c r="B9" t="s">
        <v>97</v>
      </c>
      <c r="F9" s="69" t="s">
        <v>58</v>
      </c>
      <c r="H9" s="67" t="s">
        <v>59</v>
      </c>
      <c r="I9" s="72"/>
      <c r="J9" s="67"/>
      <c r="K9" s="67"/>
      <c r="L9" s="67"/>
      <c r="M9" s="68"/>
      <c r="N9" s="67"/>
      <c r="O9" s="67"/>
      <c r="P9" s="67"/>
    </row>
    <row r="10" spans="1:16" ht="18.600000000000001" customHeight="1" x14ac:dyDescent="0.25">
      <c r="A10" t="s">
        <v>93</v>
      </c>
      <c r="F10" s="69" t="s">
        <v>59</v>
      </c>
      <c r="H10" s="67" t="s">
        <v>59</v>
      </c>
      <c r="I10" s="72"/>
      <c r="J10" s="67"/>
      <c r="K10" s="67"/>
      <c r="L10" s="67"/>
      <c r="M10" s="68"/>
      <c r="N10" s="67"/>
      <c r="O10" s="67"/>
      <c r="P10" s="67"/>
    </row>
    <row r="11" spans="1:16" ht="18.600000000000001" customHeight="1" x14ac:dyDescent="0.25">
      <c r="A11" t="s">
        <v>94</v>
      </c>
      <c r="B11" t="s">
        <v>95</v>
      </c>
      <c r="F11" s="69" t="s">
        <v>58</v>
      </c>
    </row>
    <row r="12" spans="1:16" ht="18.600000000000001" customHeight="1" x14ac:dyDescent="0.25">
      <c r="A12" t="s">
        <v>96</v>
      </c>
      <c r="F12" s="73"/>
    </row>
    <row r="13" spans="1:16" ht="18.600000000000001" customHeight="1" x14ac:dyDescent="0.25">
      <c r="A13" t="s">
        <v>94</v>
      </c>
      <c r="B13" t="s">
        <v>95</v>
      </c>
      <c r="F13" s="69"/>
      <c r="H13" s="70"/>
    </row>
    <row r="14" spans="1:16" ht="18.600000000000001" customHeight="1" x14ac:dyDescent="0.25">
      <c r="A14" t="s">
        <v>96</v>
      </c>
      <c r="B14" t="s">
        <v>40</v>
      </c>
      <c r="F14" s="69"/>
      <c r="H14" s="70"/>
    </row>
    <row r="15" spans="1:16" ht="18.600000000000001" customHeight="1" x14ac:dyDescent="0.25">
      <c r="F15" s="69"/>
    </row>
    <row r="16" spans="1:16" ht="18.600000000000001" customHeight="1" x14ac:dyDescent="0.25">
      <c r="A16" t="s">
        <v>98</v>
      </c>
      <c r="F16" s="69"/>
    </row>
    <row r="17" spans="1:20" ht="18.600000000000001" customHeight="1" x14ac:dyDescent="0.25">
      <c r="A17" t="s">
        <v>99</v>
      </c>
      <c r="F17" s="69"/>
    </row>
    <row r="18" spans="1:20" ht="18.600000000000001" customHeight="1" x14ac:dyDescent="0.25">
      <c r="A18" t="s">
        <v>100</v>
      </c>
      <c r="F18" s="69"/>
    </row>
    <row r="19" spans="1:20" ht="18.600000000000001" customHeight="1" x14ac:dyDescent="0.25">
      <c r="F19" s="69"/>
      <c r="H19" s="74"/>
      <c r="I19" s="74"/>
      <c r="J19" s="74"/>
      <c r="K19" s="74"/>
      <c r="L19" s="74"/>
      <c r="N19" s="75"/>
      <c r="O19" s="75"/>
      <c r="P19" s="75"/>
      <c r="Q19" s="76"/>
      <c r="R19" s="75"/>
      <c r="S19" s="75"/>
      <c r="T19" s="75"/>
    </row>
    <row r="20" spans="1:20" x14ac:dyDescent="0.25">
      <c r="H20" s="74"/>
      <c r="I20" s="74"/>
      <c r="J20" s="74"/>
      <c r="K20" s="74"/>
      <c r="L20" s="74"/>
      <c r="N20" s="75"/>
      <c r="O20" s="75"/>
      <c r="P20" s="75"/>
      <c r="Q20" s="76"/>
      <c r="R20" s="75"/>
      <c r="S20" s="75"/>
      <c r="T20" s="75"/>
    </row>
    <row r="21" spans="1:20" x14ac:dyDescent="0.25">
      <c r="H21" s="74"/>
      <c r="I21" s="74"/>
      <c r="J21" s="74"/>
      <c r="K21" s="74"/>
      <c r="L21" s="74"/>
      <c r="N21" s="75"/>
      <c r="O21" s="75"/>
      <c r="P21" s="75"/>
      <c r="Q21" s="76"/>
      <c r="R21" s="75"/>
      <c r="S21" s="75"/>
      <c r="T21" s="75"/>
    </row>
    <row r="22" spans="1:20" x14ac:dyDescent="0.25">
      <c r="H22" s="74"/>
      <c r="I22" s="74"/>
      <c r="J22" s="74"/>
      <c r="K22" s="74"/>
      <c r="L22" s="74"/>
      <c r="N22" s="75"/>
      <c r="O22" s="75"/>
      <c r="P22" s="75"/>
      <c r="Q22" s="76"/>
      <c r="R22" s="75"/>
      <c r="S22" s="75"/>
      <c r="T22" s="75"/>
    </row>
    <row r="23" spans="1:20" x14ac:dyDescent="0.25">
      <c r="N23" s="75"/>
      <c r="O23" s="75"/>
      <c r="P23" s="75"/>
      <c r="Q23" s="76"/>
      <c r="R23" s="75"/>
      <c r="S23" s="75"/>
      <c r="T23" s="75"/>
    </row>
  </sheetData>
  <hyperlinks>
    <hyperlink ref="I2" r:id="rId1" xr:uid="{4D5D6300-39BE-4990-8B2B-BBAAF51FD3A7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ABB8-F4A4-4249-B2DF-3802059D11CC}">
  <sheetPr codeName="Feuil1"/>
  <dimension ref="A1:K28"/>
  <sheetViews>
    <sheetView showGridLines="0" zoomScale="99" workbookViewId="0">
      <selection activeCell="I12" sqref="I12"/>
    </sheetView>
  </sheetViews>
  <sheetFormatPr defaultColWidth="0" defaultRowHeight="12.6" customHeight="1" zeroHeight="1" x14ac:dyDescent="0.2"/>
  <cols>
    <col min="1" max="1" width="16.140625" style="13" customWidth="1"/>
    <col min="2" max="2" width="17.42578125" style="13" customWidth="1"/>
    <col min="3" max="3" width="4.5703125" style="13" customWidth="1"/>
    <col min="4" max="4" width="15" style="13" customWidth="1"/>
    <col min="5" max="5" width="7" style="13" customWidth="1"/>
    <col min="6" max="6" width="1.42578125" style="13" customWidth="1"/>
    <col min="7" max="7" width="1.140625" style="13" customWidth="1"/>
    <col min="8" max="8" width="15.140625" style="13" customWidth="1"/>
    <col min="9" max="9" width="13.5703125" style="13" customWidth="1"/>
    <col min="10" max="10" width="2.5703125" style="13" customWidth="1"/>
    <col min="11" max="11" width="1.140625" style="13" customWidth="1"/>
    <col min="12" max="12" width="1.85546875" style="13" customWidth="1"/>
    <col min="13" max="16384" width="0" style="13" hidden="1"/>
  </cols>
  <sheetData>
    <row r="1" spans="1:11" ht="13.5" thickBot="1" x14ac:dyDescent="0.25"/>
    <row r="2" spans="1:11" ht="23.25" x14ac:dyDescent="0.35">
      <c r="A2" s="14" t="s">
        <v>18</v>
      </c>
      <c r="B2" s="15"/>
      <c r="C2" s="15"/>
      <c r="D2" s="15"/>
      <c r="E2" s="15"/>
      <c r="F2" s="15"/>
      <c r="G2" s="15"/>
      <c r="H2" s="15"/>
      <c r="I2" s="15"/>
      <c r="J2" s="15"/>
      <c r="K2" s="16"/>
    </row>
    <row r="3" spans="1:11" ht="5.25" customHeight="1" x14ac:dyDescent="0.35">
      <c r="A3" s="17"/>
      <c r="B3" s="18"/>
      <c r="C3" s="18"/>
      <c r="D3" s="18"/>
      <c r="E3" s="19"/>
      <c r="F3" s="19"/>
      <c r="G3" s="19"/>
      <c r="H3" s="19"/>
      <c r="I3" s="18"/>
      <c r="J3" s="18"/>
      <c r="K3" s="20"/>
    </row>
    <row r="4" spans="1:11" ht="8.25" customHeight="1" x14ac:dyDescent="0.35">
      <c r="A4" s="21"/>
      <c r="B4" s="22"/>
      <c r="C4" s="22"/>
      <c r="D4" s="22"/>
      <c r="G4" s="19"/>
      <c r="I4" s="22"/>
      <c r="J4" s="22"/>
      <c r="K4" s="23"/>
    </row>
    <row r="5" spans="1:11" ht="15.75" x14ac:dyDescent="0.25">
      <c r="A5" s="24" t="s">
        <v>19</v>
      </c>
      <c r="B5" s="25" t="s">
        <v>3</v>
      </c>
      <c r="C5" s="26"/>
      <c r="D5" s="27"/>
      <c r="G5" s="19"/>
      <c r="H5" s="28" t="s">
        <v>20</v>
      </c>
      <c r="I5" s="29"/>
      <c r="J5" s="30"/>
      <c r="K5" s="31"/>
    </row>
    <row r="6" spans="1:11" ht="15.75" x14ac:dyDescent="0.25">
      <c r="A6" s="24" t="s">
        <v>21</v>
      </c>
      <c r="B6" s="25" t="s">
        <v>6</v>
      </c>
      <c r="C6" s="26"/>
      <c r="D6" s="27"/>
      <c r="G6" s="19"/>
      <c r="H6" s="28" t="s">
        <v>12</v>
      </c>
      <c r="I6" s="29"/>
      <c r="J6" s="30"/>
      <c r="K6" s="32"/>
    </row>
    <row r="7" spans="1:11" ht="12.75" x14ac:dyDescent="0.2">
      <c r="A7" s="33" t="s">
        <v>22</v>
      </c>
      <c r="B7" s="34"/>
      <c r="C7" s="34"/>
      <c r="D7" s="34"/>
      <c r="G7" s="19"/>
      <c r="H7" s="35"/>
      <c r="I7" s="35"/>
      <c r="J7" s="35"/>
      <c r="K7" s="32"/>
    </row>
    <row r="8" spans="1:11" ht="12.75" x14ac:dyDescent="0.2">
      <c r="A8" s="33"/>
      <c r="B8" s="36"/>
      <c r="C8" s="36"/>
      <c r="D8" s="36"/>
      <c r="G8" s="19"/>
      <c r="H8" s="37"/>
      <c r="I8" s="35"/>
      <c r="J8" s="35"/>
      <c r="K8" s="32"/>
    </row>
    <row r="9" spans="1:11" ht="18.75" thickBot="1" x14ac:dyDescent="0.3">
      <c r="A9" s="38"/>
      <c r="C9" s="39"/>
      <c r="D9" s="40" t="s">
        <v>23</v>
      </c>
      <c r="G9" s="19"/>
      <c r="H9" s="37" t="s">
        <v>24</v>
      </c>
      <c r="I9" s="29"/>
      <c r="J9" s="41"/>
      <c r="K9" s="32"/>
    </row>
    <row r="10" spans="1:11" ht="26.25" thickBot="1" x14ac:dyDescent="0.4">
      <c r="A10" s="42"/>
      <c r="B10" s="43"/>
      <c r="C10" s="39"/>
      <c r="D10" s="44">
        <v>2</v>
      </c>
      <c r="G10" s="19"/>
      <c r="H10" s="28"/>
      <c r="I10" s="35"/>
      <c r="J10" s="35"/>
      <c r="K10" s="32"/>
    </row>
    <row r="11" spans="1:11" ht="18" x14ac:dyDescent="0.25">
      <c r="A11" s="38"/>
      <c r="B11" s="45"/>
      <c r="C11" s="39"/>
      <c r="G11" s="19"/>
      <c r="H11" s="35"/>
      <c r="I11" s="35"/>
      <c r="J11" s="35"/>
      <c r="K11" s="32"/>
    </row>
    <row r="12" spans="1:11" ht="12.75" x14ac:dyDescent="0.2">
      <c r="A12" s="46"/>
      <c r="B12" s="47"/>
      <c r="C12" s="37"/>
      <c r="D12" s="47"/>
      <c r="G12" s="19"/>
      <c r="I12" s="35"/>
      <c r="J12" s="35"/>
      <c r="K12" s="32"/>
    </row>
    <row r="13" spans="1:11" ht="12.75" x14ac:dyDescent="0.2">
      <c r="A13" s="38"/>
      <c r="E13" s="35"/>
      <c r="F13" s="35"/>
      <c r="G13" s="48"/>
      <c r="H13" s="49" t="s">
        <v>25</v>
      </c>
      <c r="I13" s="49"/>
      <c r="J13" s="37"/>
      <c r="K13" s="32"/>
    </row>
    <row r="14" spans="1:11" ht="13.5" thickBot="1" x14ac:dyDescent="0.25">
      <c r="A14" s="50" t="s">
        <v>26</v>
      </c>
      <c r="B14" s="51"/>
      <c r="C14" s="52" t="s">
        <v>27</v>
      </c>
      <c r="D14" s="53"/>
      <c r="E14" s="54"/>
      <c r="F14" s="35"/>
      <c r="G14" s="48"/>
      <c r="H14" s="35"/>
      <c r="I14" s="35"/>
      <c r="J14" s="35"/>
      <c r="K14" s="32"/>
    </row>
    <row r="15" spans="1:11" ht="17.25" thickTop="1" thickBot="1" x14ac:dyDescent="0.3">
      <c r="A15" s="38"/>
      <c r="B15" s="45"/>
      <c r="D15" s="45"/>
      <c r="E15" s="35"/>
      <c r="F15" s="35"/>
      <c r="G15" s="48"/>
      <c r="H15" s="55"/>
      <c r="I15" s="56"/>
      <c r="J15" s="57"/>
      <c r="K15" s="58"/>
    </row>
    <row r="16" spans="1:11" ht="13.5" thickTop="1" x14ac:dyDescent="0.2">
      <c r="A16" s="38"/>
      <c r="D16" s="59"/>
      <c r="G16" s="19"/>
      <c r="H16" s="28"/>
      <c r="I16" s="28"/>
      <c r="J16" s="28"/>
      <c r="K16" s="32"/>
    </row>
    <row r="17" spans="1:11" ht="13.5" thickBot="1" x14ac:dyDescent="0.25">
      <c r="A17" s="60" t="s">
        <v>28</v>
      </c>
      <c r="B17" s="61">
        <f ca="1">TODAY()</f>
        <v>46002</v>
      </c>
      <c r="C17" s="62"/>
      <c r="D17" s="62"/>
      <c r="E17" s="62"/>
      <c r="F17" s="62"/>
      <c r="G17" s="63"/>
      <c r="H17" s="62"/>
      <c r="I17" s="62"/>
      <c r="J17" s="62"/>
      <c r="K17" s="64"/>
    </row>
    <row r="18" spans="1:11" ht="12.75" x14ac:dyDescent="0.2"/>
    <row r="19" spans="1:11" ht="12.75" x14ac:dyDescent="0.2"/>
    <row r="21" spans="1:11" ht="12.75" hidden="1" x14ac:dyDescent="0.2">
      <c r="A21" s="13" t="s">
        <v>4</v>
      </c>
      <c r="B21" s="13" t="s">
        <v>29</v>
      </c>
    </row>
    <row r="22" spans="1:11" ht="12.75" hidden="1" x14ac:dyDescent="0.2">
      <c r="A22" s="13" t="s">
        <v>5</v>
      </c>
      <c r="B22" s="13" t="s">
        <v>30</v>
      </c>
    </row>
    <row r="23" spans="1:11" ht="12.75" hidden="1" x14ac:dyDescent="0.2">
      <c r="A23" s="13" t="s">
        <v>8</v>
      </c>
    </row>
    <row r="24" spans="1:11" ht="12.75" hidden="1" x14ac:dyDescent="0.2">
      <c r="A24" s="13" t="s">
        <v>7</v>
      </c>
    </row>
    <row r="25" spans="1:11" ht="12.75" hidden="1" x14ac:dyDescent="0.2">
      <c r="A25" s="13" t="s">
        <v>2</v>
      </c>
    </row>
    <row r="26" spans="1:11" ht="12.75" hidden="1" x14ac:dyDescent="0.2">
      <c r="A26" s="13" t="s">
        <v>3</v>
      </c>
    </row>
    <row r="27" spans="1:11" ht="12.75" hidden="1" x14ac:dyDescent="0.2">
      <c r="A27" s="13" t="s">
        <v>1</v>
      </c>
    </row>
    <row r="28" spans="1:11" ht="12.75" hidden="1" x14ac:dyDescent="0.2">
      <c r="A28" s="13" t="s">
        <v>6</v>
      </c>
    </row>
  </sheetData>
  <dataConsolidate/>
  <mergeCells count="8">
    <mergeCell ref="C14:D14"/>
    <mergeCell ref="H15:J15"/>
    <mergeCell ref="B2:K2"/>
    <mergeCell ref="B5:D5"/>
    <mergeCell ref="B6:D6"/>
    <mergeCell ref="A7:A8"/>
    <mergeCell ref="B7:D8"/>
    <mergeCell ref="H13:I13"/>
  </mergeCells>
  <dataValidations count="4">
    <dataValidation type="date" operator="lessThan" allowBlank="1" showInputMessage="1" showErrorMessage="1" sqref="B14" xr:uid="{0BFE6669-3AFF-4914-8091-975F042300E5}">
      <formula1>1900</formula1>
    </dataValidation>
    <dataValidation type="list" allowBlank="1" showInputMessage="1" showErrorMessage="1" sqref="B5:D6" xr:uid="{45F18B91-AC5A-4F41-AAFD-06166E85CB64}">
      <formula1>villes</formula1>
    </dataValidation>
    <dataValidation type="whole" allowBlank="1" showInputMessage="1" showErrorMessage="1" sqref="D10" xr:uid="{1FA9D58A-222D-40CE-AC10-0D2BEF80391F}">
      <formula1>1</formula1>
      <formula2>2</formula2>
    </dataValidation>
    <dataValidation type="list" allowBlank="1" showInputMessage="1" showErrorMessage="1" sqref="H8" xr:uid="{CDB51535-588D-4B4D-8460-3C0D8BFDB19E}">
      <formula1>$B$21:$B$22</formula1>
    </dataValidation>
  </dataValidations>
  <printOptions horizontalCentered="1" verticalCentered="1" gridLinesSet="0"/>
  <pageMargins left="0.78740157480314965" right="0.78740157480314965" top="0.98425196850393704" bottom="0.98425196850393704" header="0.4921259845" footer="0.4921259845"/>
  <pageSetup paperSize="9" orientation="landscape" horizontalDpi="300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68A2-DEE1-4445-B457-E664BDC4BE7F}">
  <sheetPr codeName="Feuil2">
    <pageSetUpPr fitToPage="1"/>
  </sheetPr>
  <dimension ref="A1:N23"/>
  <sheetViews>
    <sheetView showGridLines="0" workbookViewId="0">
      <selection activeCell="I12" sqref="I12"/>
    </sheetView>
  </sheetViews>
  <sheetFormatPr defaultColWidth="11.42578125" defaultRowHeight="12.75" x14ac:dyDescent="0.2"/>
  <cols>
    <col min="1" max="1" width="12.5703125" style="2" customWidth="1"/>
    <col min="2" max="2" width="13" style="2" customWidth="1"/>
    <col min="3" max="3" width="13.42578125" style="2" customWidth="1"/>
    <col min="4" max="4" width="12.42578125" style="2" bestFit="1" customWidth="1"/>
    <col min="5" max="5" width="12.5703125" style="2" bestFit="1" customWidth="1"/>
    <col min="6" max="6" width="17.140625" style="2" customWidth="1"/>
    <col min="7" max="7" width="13.85546875" style="2" customWidth="1"/>
    <col min="8" max="8" width="14.140625" style="2" customWidth="1"/>
    <col min="9" max="16" width="13.42578125" style="2" customWidth="1"/>
    <col min="17" max="16384" width="11.42578125" style="2"/>
  </cols>
  <sheetData>
    <row r="1" spans="1:14" ht="20.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4" ht="15.75" x14ac:dyDescent="0.25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K3" s="5" t="s">
        <v>9</v>
      </c>
      <c r="L3" s="5"/>
      <c r="M3" s="5"/>
      <c r="N3" s="5"/>
    </row>
    <row r="4" spans="1:14" x14ac:dyDescent="0.2">
      <c r="A4" s="6" t="s">
        <v>1</v>
      </c>
      <c r="B4" s="7">
        <v>0</v>
      </c>
      <c r="C4" s="7">
        <v>805</v>
      </c>
      <c r="D4" s="7">
        <v>565</v>
      </c>
      <c r="E4" s="7">
        <v>650</v>
      </c>
      <c r="F4" s="7">
        <v>807</v>
      </c>
      <c r="G4" s="7">
        <v>585</v>
      </c>
      <c r="H4" s="7">
        <v>710</v>
      </c>
      <c r="I4" s="7">
        <v>250</v>
      </c>
      <c r="K4" s="8" t="s">
        <v>10</v>
      </c>
      <c r="L4" s="8" t="s">
        <v>11</v>
      </c>
      <c r="M4" s="8" t="s">
        <v>12</v>
      </c>
      <c r="N4" s="8" t="s">
        <v>13</v>
      </c>
    </row>
    <row r="5" spans="1:14" x14ac:dyDescent="0.2">
      <c r="A5" s="6" t="s">
        <v>2</v>
      </c>
      <c r="B5" s="7">
        <v>805</v>
      </c>
      <c r="C5" s="7">
        <v>0</v>
      </c>
      <c r="D5" s="7">
        <v>695</v>
      </c>
      <c r="E5" s="7">
        <v>1020</v>
      </c>
      <c r="F5" s="7">
        <v>1180</v>
      </c>
      <c r="G5" s="7">
        <v>220</v>
      </c>
      <c r="H5" s="7">
        <v>1080</v>
      </c>
      <c r="I5" s="7">
        <v>910</v>
      </c>
      <c r="K5" s="9">
        <v>44197</v>
      </c>
      <c r="L5" s="9">
        <v>44285</v>
      </c>
      <c r="M5" s="10">
        <v>0.1</v>
      </c>
      <c r="N5" s="10">
        <v>0.19</v>
      </c>
    </row>
    <row r="6" spans="1:14" x14ac:dyDescent="0.2">
      <c r="A6" s="6" t="s">
        <v>3</v>
      </c>
      <c r="B6" s="7">
        <v>565</v>
      </c>
      <c r="C6" s="7">
        <v>695</v>
      </c>
      <c r="D6" s="7">
        <v>0</v>
      </c>
      <c r="E6" s="7">
        <v>315</v>
      </c>
      <c r="F6" s="7">
        <v>470</v>
      </c>
      <c r="G6" s="7">
        <v>460</v>
      </c>
      <c r="H6" s="7">
        <v>380</v>
      </c>
      <c r="I6" s="7">
        <v>540</v>
      </c>
      <c r="K6" s="9" t="s">
        <v>14</v>
      </c>
      <c r="L6" s="9" t="s">
        <v>15</v>
      </c>
      <c r="M6" s="10">
        <v>0.05</v>
      </c>
      <c r="N6" s="10">
        <v>0.13</v>
      </c>
    </row>
    <row r="7" spans="1:14" x14ac:dyDescent="0.2">
      <c r="A7" s="6" t="s">
        <v>4</v>
      </c>
      <c r="B7" s="7">
        <v>650</v>
      </c>
      <c r="C7" s="7">
        <v>1020</v>
      </c>
      <c r="D7" s="7">
        <v>315</v>
      </c>
      <c r="E7" s="7">
        <v>0</v>
      </c>
      <c r="F7" s="7">
        <v>207</v>
      </c>
      <c r="G7" s="7">
        <v>795</v>
      </c>
      <c r="H7" s="7">
        <v>64</v>
      </c>
      <c r="I7" s="7">
        <v>408</v>
      </c>
      <c r="K7" s="9" t="s">
        <v>16</v>
      </c>
      <c r="L7" s="9">
        <v>44531</v>
      </c>
      <c r="M7" s="10">
        <v>0.15</v>
      </c>
      <c r="N7" s="10">
        <v>0.21</v>
      </c>
    </row>
    <row r="8" spans="1:14" x14ac:dyDescent="0.2">
      <c r="A8" s="6" t="s">
        <v>5</v>
      </c>
      <c r="B8" s="7">
        <v>807</v>
      </c>
      <c r="C8" s="7">
        <v>1180</v>
      </c>
      <c r="D8" s="7">
        <v>470</v>
      </c>
      <c r="E8" s="7">
        <v>207</v>
      </c>
      <c r="F8" s="7">
        <v>0</v>
      </c>
      <c r="G8" s="7">
        <v>950</v>
      </c>
      <c r="H8" s="7">
        <v>150</v>
      </c>
      <c r="I8" s="7">
        <v>565</v>
      </c>
    </row>
    <row r="9" spans="1:14" x14ac:dyDescent="0.2">
      <c r="A9" s="6" t="s">
        <v>6</v>
      </c>
      <c r="B9" s="7">
        <v>585</v>
      </c>
      <c r="C9" s="7">
        <v>220</v>
      </c>
      <c r="D9" s="7">
        <v>460</v>
      </c>
      <c r="E9" s="7">
        <v>795</v>
      </c>
      <c r="F9" s="7">
        <v>950</v>
      </c>
      <c r="G9" s="7">
        <v>0</v>
      </c>
      <c r="H9" s="7">
        <v>855</v>
      </c>
      <c r="I9" s="7">
        <v>690</v>
      </c>
    </row>
    <row r="10" spans="1:14" x14ac:dyDescent="0.2">
      <c r="A10" s="6" t="s">
        <v>7</v>
      </c>
      <c r="B10" s="7">
        <v>710</v>
      </c>
      <c r="C10" s="7">
        <v>1080</v>
      </c>
      <c r="D10" s="7">
        <v>380</v>
      </c>
      <c r="E10" s="7">
        <v>64</v>
      </c>
      <c r="F10" s="7">
        <v>150</v>
      </c>
      <c r="G10" s="7">
        <v>855</v>
      </c>
      <c r="H10" s="7">
        <v>0</v>
      </c>
      <c r="I10" s="7">
        <v>470</v>
      </c>
    </row>
    <row r="11" spans="1:14" x14ac:dyDescent="0.2">
      <c r="A11" s="6" t="s">
        <v>8</v>
      </c>
      <c r="B11" s="7">
        <v>250</v>
      </c>
      <c r="C11" s="7">
        <v>910</v>
      </c>
      <c r="D11" s="7">
        <v>540</v>
      </c>
      <c r="E11" s="7">
        <v>408</v>
      </c>
      <c r="F11" s="7">
        <v>565</v>
      </c>
      <c r="G11" s="7">
        <v>690</v>
      </c>
      <c r="H11" s="7">
        <v>470</v>
      </c>
      <c r="I11" s="7">
        <v>0</v>
      </c>
    </row>
    <row r="12" spans="1:14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4" spans="1:14" ht="20.25" x14ac:dyDescent="0.3">
      <c r="A14" s="1" t="s">
        <v>17</v>
      </c>
      <c r="B14" s="1"/>
      <c r="C14" s="1"/>
      <c r="D14" s="1"/>
      <c r="E14" s="1"/>
      <c r="F14" s="1"/>
      <c r="G14" s="1"/>
      <c r="H14" s="1"/>
      <c r="I14" s="1"/>
    </row>
    <row r="15" spans="1:14" ht="15.75" x14ac:dyDescent="0.25">
      <c r="A15" s="3"/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4" t="s">
        <v>6</v>
      </c>
      <c r="H15" s="4" t="s">
        <v>7</v>
      </c>
      <c r="I15" s="4" t="s">
        <v>8</v>
      </c>
    </row>
    <row r="16" spans="1:14" x14ac:dyDescent="0.2">
      <c r="A16" s="6" t="s">
        <v>1</v>
      </c>
      <c r="B16" s="12">
        <f>B4/10000</f>
        <v>0</v>
      </c>
      <c r="C16" s="12">
        <f t="shared" ref="C16:I16" si="0">C4/10000</f>
        <v>8.0500000000000002E-2</v>
      </c>
      <c r="D16" s="12">
        <f t="shared" si="0"/>
        <v>5.6500000000000002E-2</v>
      </c>
      <c r="E16" s="12">
        <f t="shared" si="0"/>
        <v>6.5000000000000002E-2</v>
      </c>
      <c r="F16" s="12">
        <f t="shared" si="0"/>
        <v>8.0699999999999994E-2</v>
      </c>
      <c r="G16" s="12">
        <f t="shared" si="0"/>
        <v>5.8500000000000003E-2</v>
      </c>
      <c r="H16" s="12">
        <f t="shared" si="0"/>
        <v>7.0999999999999994E-2</v>
      </c>
      <c r="I16" s="12">
        <f t="shared" si="0"/>
        <v>2.5000000000000001E-2</v>
      </c>
    </row>
    <row r="17" spans="1:9" x14ac:dyDescent="0.2">
      <c r="A17" s="6" t="s">
        <v>2</v>
      </c>
      <c r="B17" s="12">
        <f t="shared" ref="B17:I23" si="1">B5/10000</f>
        <v>8.0500000000000002E-2</v>
      </c>
      <c r="C17" s="12">
        <f t="shared" si="1"/>
        <v>0</v>
      </c>
      <c r="D17" s="12">
        <f t="shared" si="1"/>
        <v>6.9500000000000006E-2</v>
      </c>
      <c r="E17" s="12">
        <f t="shared" si="1"/>
        <v>0.10199999999999999</v>
      </c>
      <c r="F17" s="12">
        <f t="shared" si="1"/>
        <v>0.11799999999999999</v>
      </c>
      <c r="G17" s="12">
        <f t="shared" si="1"/>
        <v>2.1999999999999999E-2</v>
      </c>
      <c r="H17" s="12">
        <f t="shared" si="1"/>
        <v>0.108</v>
      </c>
      <c r="I17" s="12">
        <f t="shared" si="1"/>
        <v>9.0999999999999998E-2</v>
      </c>
    </row>
    <row r="18" spans="1:9" x14ac:dyDescent="0.2">
      <c r="A18" s="6" t="s">
        <v>3</v>
      </c>
      <c r="B18" s="12">
        <f t="shared" si="1"/>
        <v>5.6500000000000002E-2</v>
      </c>
      <c r="C18" s="12">
        <f t="shared" si="1"/>
        <v>6.9500000000000006E-2</v>
      </c>
      <c r="D18" s="12">
        <f t="shared" si="1"/>
        <v>0</v>
      </c>
      <c r="E18" s="12">
        <f t="shared" si="1"/>
        <v>3.15E-2</v>
      </c>
      <c r="F18" s="12">
        <f t="shared" si="1"/>
        <v>4.7E-2</v>
      </c>
      <c r="G18" s="12">
        <f t="shared" si="1"/>
        <v>4.5999999999999999E-2</v>
      </c>
      <c r="H18" s="12">
        <f t="shared" si="1"/>
        <v>3.7999999999999999E-2</v>
      </c>
      <c r="I18" s="12">
        <f t="shared" si="1"/>
        <v>5.3999999999999999E-2</v>
      </c>
    </row>
    <row r="19" spans="1:9" x14ac:dyDescent="0.2">
      <c r="A19" s="6" t="s">
        <v>4</v>
      </c>
      <c r="B19" s="12">
        <f t="shared" si="1"/>
        <v>6.5000000000000002E-2</v>
      </c>
      <c r="C19" s="12">
        <f t="shared" si="1"/>
        <v>0.10199999999999999</v>
      </c>
      <c r="D19" s="12">
        <f t="shared" si="1"/>
        <v>3.15E-2</v>
      </c>
      <c r="E19" s="12">
        <f t="shared" si="1"/>
        <v>0</v>
      </c>
      <c r="F19" s="12">
        <f t="shared" si="1"/>
        <v>2.07E-2</v>
      </c>
      <c r="G19" s="12">
        <f t="shared" si="1"/>
        <v>7.9500000000000001E-2</v>
      </c>
      <c r="H19" s="12">
        <f t="shared" si="1"/>
        <v>6.4000000000000003E-3</v>
      </c>
      <c r="I19" s="12">
        <f t="shared" si="1"/>
        <v>4.0800000000000003E-2</v>
      </c>
    </row>
    <row r="20" spans="1:9" x14ac:dyDescent="0.2">
      <c r="A20" s="6" t="s">
        <v>5</v>
      </c>
      <c r="B20" s="12">
        <f t="shared" si="1"/>
        <v>8.0699999999999994E-2</v>
      </c>
      <c r="C20" s="12">
        <f t="shared" si="1"/>
        <v>0.11799999999999999</v>
      </c>
      <c r="D20" s="12">
        <f t="shared" si="1"/>
        <v>4.7E-2</v>
      </c>
      <c r="E20" s="12">
        <f t="shared" si="1"/>
        <v>2.07E-2</v>
      </c>
      <c r="F20" s="12">
        <f t="shared" si="1"/>
        <v>0</v>
      </c>
      <c r="G20" s="12">
        <f t="shared" si="1"/>
        <v>9.5000000000000001E-2</v>
      </c>
      <c r="H20" s="12">
        <f t="shared" si="1"/>
        <v>1.4999999999999999E-2</v>
      </c>
      <c r="I20" s="12">
        <f t="shared" si="1"/>
        <v>5.6500000000000002E-2</v>
      </c>
    </row>
    <row r="21" spans="1:9" x14ac:dyDescent="0.2">
      <c r="A21" s="6" t="s">
        <v>6</v>
      </c>
      <c r="B21" s="12">
        <f t="shared" si="1"/>
        <v>5.8500000000000003E-2</v>
      </c>
      <c r="C21" s="12">
        <f t="shared" si="1"/>
        <v>2.1999999999999999E-2</v>
      </c>
      <c r="D21" s="12">
        <f t="shared" si="1"/>
        <v>4.5999999999999999E-2</v>
      </c>
      <c r="E21" s="12">
        <f t="shared" si="1"/>
        <v>7.9500000000000001E-2</v>
      </c>
      <c r="F21" s="12">
        <f t="shared" si="1"/>
        <v>9.5000000000000001E-2</v>
      </c>
      <c r="G21" s="12">
        <f t="shared" si="1"/>
        <v>0</v>
      </c>
      <c r="H21" s="12">
        <f t="shared" si="1"/>
        <v>8.5500000000000007E-2</v>
      </c>
      <c r="I21" s="12">
        <f t="shared" si="1"/>
        <v>6.9000000000000006E-2</v>
      </c>
    </row>
    <row r="22" spans="1:9" x14ac:dyDescent="0.2">
      <c r="A22" s="6" t="s">
        <v>7</v>
      </c>
      <c r="B22" s="12">
        <f t="shared" si="1"/>
        <v>7.0999999999999994E-2</v>
      </c>
      <c r="C22" s="12">
        <f t="shared" si="1"/>
        <v>0.108</v>
      </c>
      <c r="D22" s="12">
        <f t="shared" si="1"/>
        <v>3.7999999999999999E-2</v>
      </c>
      <c r="E22" s="12">
        <f t="shared" si="1"/>
        <v>6.4000000000000003E-3</v>
      </c>
      <c r="F22" s="12">
        <f t="shared" si="1"/>
        <v>1.4999999999999999E-2</v>
      </c>
      <c r="G22" s="12">
        <f t="shared" si="1"/>
        <v>8.5500000000000007E-2</v>
      </c>
      <c r="H22" s="12">
        <f t="shared" si="1"/>
        <v>0</v>
      </c>
      <c r="I22" s="12">
        <f t="shared" si="1"/>
        <v>4.7E-2</v>
      </c>
    </row>
    <row r="23" spans="1:9" x14ac:dyDescent="0.2">
      <c r="A23" s="6" t="s">
        <v>8</v>
      </c>
      <c r="B23" s="12">
        <f t="shared" si="1"/>
        <v>2.5000000000000001E-2</v>
      </c>
      <c r="C23" s="12">
        <f t="shared" si="1"/>
        <v>9.0999999999999998E-2</v>
      </c>
      <c r="D23" s="12">
        <f t="shared" si="1"/>
        <v>5.3999999999999999E-2</v>
      </c>
      <c r="E23" s="12">
        <f t="shared" si="1"/>
        <v>4.0800000000000003E-2</v>
      </c>
      <c r="F23" s="12">
        <f t="shared" si="1"/>
        <v>5.6500000000000002E-2</v>
      </c>
      <c r="G23" s="12">
        <f t="shared" si="1"/>
        <v>6.9000000000000006E-2</v>
      </c>
      <c r="H23" s="12">
        <f t="shared" si="1"/>
        <v>4.7E-2</v>
      </c>
      <c r="I23" s="12">
        <f t="shared" si="1"/>
        <v>0</v>
      </c>
    </row>
  </sheetData>
  <mergeCells count="2">
    <mergeCell ref="A1:I1"/>
    <mergeCell ref="A14:I14"/>
  </mergeCells>
  <printOptions horizontalCentered="1" verticalCentered="1"/>
  <pageMargins left="0.55118110236220474" right="0.78740157480314965" top="0.98425196850393704" bottom="0.98425196850393704" header="0.51181102362204722" footer="0.51181102362204722"/>
  <pageSetup paperSize="9" scale="89" orientation="landscape" horizontalDpi="300" verticalDpi="4294967292" r:id="rId1"/>
  <headerFooter alignWithMargins="0">
    <oddHeader>&amp;L&amp;"Helv,Gras"&amp;16&amp;F
_____________</oddHeader>
    <oddFooter>&amp;R&amp;8_________________
&amp;F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0373-60B8-46C3-B511-3B251B251B5A}">
  <dimension ref="G7:I8"/>
  <sheetViews>
    <sheetView workbookViewId="0">
      <selection activeCell="G7" sqref="G7:I7"/>
    </sheetView>
  </sheetViews>
  <sheetFormatPr defaultRowHeight="15" x14ac:dyDescent="0.25"/>
  <cols>
    <col min="7" max="7" width="15.28515625" customWidth="1"/>
    <col min="8" max="8" width="15.85546875" customWidth="1"/>
    <col min="9" max="9" width="12.5703125" customWidth="1"/>
  </cols>
  <sheetData>
    <row r="7" spans="7:9" x14ac:dyDescent="0.25">
      <c r="G7" s="116" t="s">
        <v>85</v>
      </c>
      <c r="H7" s="116" t="s">
        <v>86</v>
      </c>
      <c r="I7" s="116" t="s">
        <v>87</v>
      </c>
    </row>
    <row r="8" spans="7:9" x14ac:dyDescent="0.25">
      <c r="G8" s="88"/>
      <c r="H8" s="88"/>
      <c r="I8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17</vt:i4>
      </vt:variant>
    </vt:vector>
  </HeadingPairs>
  <TitlesOfParts>
    <vt:vector size="22" baseType="lpstr">
      <vt:lpstr>Exercice1</vt:lpstr>
      <vt:lpstr>Exercice2</vt:lpstr>
      <vt:lpstr>Exercice3</vt:lpstr>
      <vt:lpstr>Setting_exercice3</vt:lpstr>
      <vt:lpstr>Sheet1</vt:lpstr>
      <vt:lpstr>Exercice1!basis</vt:lpstr>
      <vt:lpstr>Exercice1!cc</vt:lpstr>
      <vt:lpstr>Exercice1!clcDate</vt:lpstr>
      <vt:lpstr>Exercice1!clean_price</vt:lpstr>
      <vt:lpstr>Exercice1!coupon_freq</vt:lpstr>
      <vt:lpstr>Exercice1!coupon_rate</vt:lpstr>
      <vt:lpstr>Exercice1!curve</vt:lpstr>
      <vt:lpstr>destinations</vt:lpstr>
      <vt:lpstr>Exercice1!issue_date</vt:lpstr>
      <vt:lpstr>Exercice1!last_cpn</vt:lpstr>
      <vt:lpstr>liste_arrivees</vt:lpstr>
      <vt:lpstr>liste_depart</vt:lpstr>
      <vt:lpstr>Exercice1!maturity</vt:lpstr>
      <vt:lpstr>Exercice1!nominal</vt:lpstr>
      <vt:lpstr>Exercice1!price_dirty</vt:lpstr>
      <vt:lpstr>Setting_exercice3!Print_Area</vt:lpstr>
      <vt:lpstr>table_input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7618</dc:creator>
  <cp:lastModifiedBy>7618</cp:lastModifiedBy>
  <dcterms:created xsi:type="dcterms:W3CDTF">2025-12-11T17:33:59Z</dcterms:created>
  <dcterms:modified xsi:type="dcterms:W3CDTF">2025-12-11T17:51:19Z</dcterms:modified>
</cp:coreProperties>
</file>