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33695\Desktop\Cours VBA Master 1\"/>
    </mc:Choice>
  </mc:AlternateContent>
  <xr:revisionPtr revIDLastSave="0" documentId="13_ncr:1_{08F5CCDF-CA31-4F30-BD6A-E899D206494B}" xr6:coauthVersionLast="47" xr6:coauthVersionMax="47" xr10:uidLastSave="{00000000-0000-0000-0000-000000000000}"/>
  <bookViews>
    <workbookView xWindow="-120" yWindow="-120" windowWidth="20730" windowHeight="11040" activeTab="6" xr2:uid="{C23151F0-83B8-496A-B37B-BB70A1BD1E70}"/>
  </bookViews>
  <sheets>
    <sheet name="Hello" sheetId="5" r:id="rId1"/>
    <sheet name="Sheet1" sheetId="1" r:id="rId2"/>
    <sheet name="Sheet6" sheetId="6" r:id="rId3"/>
    <sheet name="Sheet8" sheetId="8" r:id="rId4"/>
    <sheet name="Sheet7" sheetId="7" r:id="rId5"/>
    <sheet name="Sheet9" sheetId="9" r:id="rId6"/>
    <sheet name="Sheet10" sheetId="10" r:id="rId7"/>
    <sheet name="Sheet11" sheetId="1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0" l="1"/>
  <c r="G2" i="10"/>
  <c r="G3" i="10"/>
  <c r="G4" i="10"/>
  <c r="G5" i="10"/>
  <c r="G6" i="10"/>
  <c r="G7" i="10"/>
  <c r="G8" i="10"/>
  <c r="G9" i="10"/>
  <c r="G10" i="10"/>
  <c r="G11" i="10"/>
  <c r="F11" i="10"/>
  <c r="F10" i="10"/>
  <c r="F7" i="10"/>
  <c r="F8" i="10"/>
  <c r="F9" i="10"/>
  <c r="F2" i="10"/>
  <c r="F3" i="10"/>
  <c r="F4" i="10"/>
  <c r="F5" i="10"/>
  <c r="F6" i="10"/>
  <c r="H3" i="6"/>
  <c r="D4" i="1"/>
  <c r="B9" i="11" a="1"/>
  <c r="C15" i="10" a="1"/>
  <c r="B4" i="1" a="1"/>
  <c r="B10" i="6" a="1"/>
  <c r="F3" i="6" a="1"/>
  <c r="B9" i="11" l="1"/>
  <c r="C15" i="10"/>
  <c r="B4" i="1"/>
  <c r="B10" i="6"/>
  <c r="F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<sst xmlns="http://schemas.openxmlformats.org/spreadsheetml/2006/main" count="1260" uniqueCount="1207">
  <si>
    <t>N</t>
  </si>
  <si>
    <t>T</t>
  </si>
  <si>
    <t>YTM</t>
  </si>
  <si>
    <t>Prix</t>
  </si>
  <si>
    <t>Nom</t>
  </si>
  <si>
    <t>Prenom</t>
  </si>
  <si>
    <t>Salaire</t>
  </si>
  <si>
    <t>Nominal</t>
  </si>
  <si>
    <t>Taux (0,3)</t>
  </si>
  <si>
    <t>Taux (0,5)</t>
  </si>
  <si>
    <t>Taux (0,4)</t>
  </si>
  <si>
    <t>Alpha</t>
  </si>
  <si>
    <t>Beta</t>
  </si>
  <si>
    <t>Email</t>
  </si>
  <si>
    <t>R</t>
  </si>
  <si>
    <t>EMAIL CONFIGURATION</t>
  </si>
  <si>
    <t>Destinateur</t>
  </si>
  <si>
    <t>Email cc</t>
  </si>
  <si>
    <t>bromasidibe@outlook.com</t>
  </si>
  <si>
    <t>Email titre</t>
  </si>
  <si>
    <t>Synthese</t>
  </si>
  <si>
    <t>Email contenu</t>
  </si>
  <si>
    <t xml:space="preserve">Bonjour </t>
  </si>
  <si>
    <t>hello@hello.com</t>
  </si>
  <si>
    <t>Note</t>
  </si>
  <si>
    <t>OK</t>
  </si>
  <si>
    <t>KO</t>
  </si>
  <si>
    <t>Date</t>
  </si>
  <si>
    <t>Price</t>
  </si>
  <si>
    <t>Open</t>
  </si>
  <si>
    <t>High</t>
  </si>
  <si>
    <t>Low</t>
  </si>
  <si>
    <t>Vol.</t>
  </si>
  <si>
    <t>Change %</t>
  </si>
  <si>
    <t>11/29/2024</t>
  </si>
  <si>
    <t>66.53M</t>
  </si>
  <si>
    <t>11/28/2024</t>
  </si>
  <si>
    <t>56.38M</t>
  </si>
  <si>
    <t>11/27/2024</t>
  </si>
  <si>
    <t>77.02M</t>
  </si>
  <si>
    <t>11/26/2024</t>
  </si>
  <si>
    <t>68.77M</t>
  </si>
  <si>
    <t>11/25/2024</t>
  </si>
  <si>
    <t>122.96M</t>
  </si>
  <si>
    <t>11/22/2024</t>
  </si>
  <si>
    <t>71.96M</t>
  </si>
  <si>
    <t>11/21/2024</t>
  </si>
  <si>
    <t>53.38M</t>
  </si>
  <si>
    <t>11/20/2024</t>
  </si>
  <si>
    <t>55.75M</t>
  </si>
  <si>
    <t>11/19/2024</t>
  </si>
  <si>
    <t>64.62M</t>
  </si>
  <si>
    <t>11/18/2024</t>
  </si>
  <si>
    <t>50.15M</t>
  </si>
  <si>
    <t>11/15/2024</t>
  </si>
  <si>
    <t>66.90M</t>
  </si>
  <si>
    <t>11/14/2024</t>
  </si>
  <si>
    <t>71.04M</t>
  </si>
  <si>
    <t>11/13/2024</t>
  </si>
  <si>
    <t>62.93M</t>
  </si>
  <si>
    <t>78.45M</t>
  </si>
  <si>
    <t>56.32M</t>
  </si>
  <si>
    <t>67.22M</t>
  </si>
  <si>
    <t>86.93M</t>
  </si>
  <si>
    <t>108.20M</t>
  </si>
  <si>
    <t>47.13M</t>
  </si>
  <si>
    <t>45.72M</t>
  </si>
  <si>
    <t>56.97M</t>
  </si>
  <si>
    <t>10/31/2024</t>
  </si>
  <si>
    <t>103.05M</t>
  </si>
  <si>
    <t>10/30/2024</t>
  </si>
  <si>
    <t>69.88M</t>
  </si>
  <si>
    <t>10/29/2024</t>
  </si>
  <si>
    <t>55.43M</t>
  </si>
  <si>
    <t>10/28/2024</t>
  </si>
  <si>
    <t>53.21M</t>
  </si>
  <si>
    <t>10/25/2024</t>
  </si>
  <si>
    <t>50.45M</t>
  </si>
  <si>
    <t>10/24/2024</t>
  </si>
  <si>
    <t>63.32M</t>
  </si>
  <si>
    <t>10/23/2024</t>
  </si>
  <si>
    <t>51.67M</t>
  </si>
  <si>
    <t>10/22/2024</t>
  </si>
  <si>
    <t>50.56M</t>
  </si>
  <si>
    <t>10/21/2024</t>
  </si>
  <si>
    <t>47.26M</t>
  </si>
  <si>
    <t>10/18/2024</t>
  </si>
  <si>
    <t>62.95M</t>
  </si>
  <si>
    <t>10/17/2024</t>
  </si>
  <si>
    <t>60.45M</t>
  </si>
  <si>
    <t>10/16/2024</t>
  </si>
  <si>
    <t>64.50M</t>
  </si>
  <si>
    <t>10/15/2024</t>
  </si>
  <si>
    <t>73.15M</t>
  </si>
  <si>
    <t>10/14/2024</t>
  </si>
  <si>
    <t>43.69M</t>
  </si>
  <si>
    <t>52.95M</t>
  </si>
  <si>
    <t>47.65M</t>
  </si>
  <si>
    <t>50.00M</t>
  </si>
  <si>
    <t>54.05M</t>
  </si>
  <si>
    <t>54.78M</t>
  </si>
  <si>
    <t>73.42M</t>
  </si>
  <si>
    <t>77.40M</t>
  </si>
  <si>
    <t>58.41M</t>
  </si>
  <si>
    <t>68.82M</t>
  </si>
  <si>
    <t>09/30/2024</t>
  </si>
  <si>
    <t>103.18M</t>
  </si>
  <si>
    <t>09/27/2024</t>
  </si>
  <si>
    <t>72.88M</t>
  </si>
  <si>
    <t>09/26/2024</t>
  </si>
  <si>
    <t>78.59M</t>
  </si>
  <si>
    <t>09/25/2024</t>
  </si>
  <si>
    <t>58.32M</t>
  </si>
  <si>
    <t>09/24/2024</t>
  </si>
  <si>
    <t>60.27M</t>
  </si>
  <si>
    <t>09/23/2024</t>
  </si>
  <si>
    <t>63.94M</t>
  </si>
  <si>
    <t>09/20/2024</t>
  </si>
  <si>
    <t>126.03M</t>
  </si>
  <si>
    <t>09/19/2024</t>
  </si>
  <si>
    <t>68.59M</t>
  </si>
  <si>
    <t>09/18/2024</t>
  </si>
  <si>
    <t>45.99M</t>
  </si>
  <si>
    <t>09/17/2024</t>
  </si>
  <si>
    <t>54.49M</t>
  </si>
  <si>
    <t>09/16/2024</t>
  </si>
  <si>
    <t>39.03M</t>
  </si>
  <si>
    <t>09/13/2024</t>
  </si>
  <si>
    <t>51.70M</t>
  </si>
  <si>
    <t>53.48M</t>
  </si>
  <si>
    <t>57.06M</t>
  </si>
  <si>
    <t>55.48M</t>
  </si>
  <si>
    <t>48.49M</t>
  </si>
  <si>
    <t>60.96M</t>
  </si>
  <si>
    <t>63.44M</t>
  </si>
  <si>
    <t>54.00M</t>
  </si>
  <si>
    <t>51.98M</t>
  </si>
  <si>
    <t>32.46M</t>
  </si>
  <si>
    <t>08/30/2024</t>
  </si>
  <si>
    <t>78.20M</t>
  </si>
  <si>
    <t>08/29/2024</t>
  </si>
  <si>
    <t>39.82M</t>
  </si>
  <si>
    <t>08/28/2024</t>
  </si>
  <si>
    <t>37.59M</t>
  </si>
  <si>
    <t>08/27/2024</t>
  </si>
  <si>
    <t>35.79M</t>
  </si>
  <si>
    <t>08/26/2024</t>
  </si>
  <si>
    <t>28.20M</t>
  </si>
  <si>
    <t>08/23/2024</t>
  </si>
  <si>
    <t>38.26M</t>
  </si>
  <si>
    <t>08/22/2024</t>
  </si>
  <si>
    <t>31.26M</t>
  </si>
  <si>
    <t>08/21/2024</t>
  </si>
  <si>
    <t>36.45M</t>
  </si>
  <si>
    <t>08/20/2024</t>
  </si>
  <si>
    <t>38.04M</t>
  </si>
  <si>
    <t>08/19/2024</t>
  </si>
  <si>
    <t>42.31M</t>
  </si>
  <si>
    <t>08/16/2024</t>
  </si>
  <si>
    <t>49.40M</t>
  </si>
  <si>
    <t>08/15/2024</t>
  </si>
  <si>
    <t>48.26M</t>
  </si>
  <si>
    <t>08/14/2024</t>
  </si>
  <si>
    <t>41.05M</t>
  </si>
  <si>
    <t>08/13/2024</t>
  </si>
  <si>
    <t>40.39M</t>
  </si>
  <si>
    <t>38.39M</t>
  </si>
  <si>
    <t>43.63M</t>
  </si>
  <si>
    <t>48.24M</t>
  </si>
  <si>
    <t>77.89M</t>
  </si>
  <si>
    <t>69.66M</t>
  </si>
  <si>
    <t>102.11M</t>
  </si>
  <si>
    <t>104.42M</t>
  </si>
  <si>
    <t>80.10M</t>
  </si>
  <si>
    <t>07/31/2024</t>
  </si>
  <si>
    <t>07/30/2024</t>
  </si>
  <si>
    <t>44.70M</t>
  </si>
  <si>
    <t>07/29/2024</t>
  </si>
  <si>
    <t>47.28M</t>
  </si>
  <si>
    <t>07/26/2024</t>
  </si>
  <si>
    <t>61.16M</t>
  </si>
  <si>
    <t>07/25/2024</t>
  </si>
  <si>
    <t>86.63M</t>
  </si>
  <si>
    <t>07/24/2024</t>
  </si>
  <si>
    <t>54.74M</t>
  </si>
  <si>
    <t>07/23/2024</t>
  </si>
  <si>
    <t>51.05M</t>
  </si>
  <si>
    <t>07/22/2024</t>
  </si>
  <si>
    <t>50.27M</t>
  </si>
  <si>
    <t>07/19/2024</t>
  </si>
  <si>
    <t>62.74M</t>
  </si>
  <si>
    <t>07/18/2024</t>
  </si>
  <si>
    <t>54.72M</t>
  </si>
  <si>
    <t>07/17/2024</t>
  </si>
  <si>
    <t>47.87M</t>
  </si>
  <si>
    <t>07/16/2024</t>
  </si>
  <si>
    <t>41.90M</t>
  </si>
  <si>
    <t>07/15/2024</t>
  </si>
  <si>
    <t>50.57M</t>
  </si>
  <si>
    <t>51.47M</t>
  </si>
  <si>
    <t>56.79M</t>
  </si>
  <si>
    <t>54.98M</t>
  </si>
  <si>
    <t>70.43M</t>
  </si>
  <si>
    <t>59.23M</t>
  </si>
  <si>
    <t>52.53M</t>
  </si>
  <si>
    <t>50.80M</t>
  </si>
  <si>
    <t>68.45M</t>
  </si>
  <si>
    <t>65.36M</t>
  </si>
  <si>
    <t>86.51M</t>
  </si>
  <si>
    <t>06/28/2024</t>
  </si>
  <si>
    <t>82.28M</t>
  </si>
  <si>
    <t>06/27/2024</t>
  </si>
  <si>
    <t>63.13M</t>
  </si>
  <si>
    <t>06/26/2024</t>
  </si>
  <si>
    <t>66.43M</t>
  </si>
  <si>
    <t>06/25/2024</t>
  </si>
  <si>
    <t>66.82M</t>
  </si>
  <si>
    <t>06/24/2024</t>
  </si>
  <si>
    <t>60.68M</t>
  </si>
  <si>
    <t>06/21/2024</t>
  </si>
  <si>
    <t>147.59M</t>
  </si>
  <si>
    <t>06/20/2024</t>
  </si>
  <si>
    <t>67.21M</t>
  </si>
  <si>
    <t>06/19/2024</t>
  </si>
  <si>
    <t>59.20M</t>
  </si>
  <si>
    <t>06/18/2024</t>
  </si>
  <si>
    <t>74.42M</t>
  </si>
  <si>
    <t>06/17/2024</t>
  </si>
  <si>
    <t>78.51M</t>
  </si>
  <si>
    <t>06/14/2024</t>
  </si>
  <si>
    <t>158.95M</t>
  </si>
  <si>
    <t>06/13/2024</t>
  </si>
  <si>
    <t>96.88M</t>
  </si>
  <si>
    <t>81.84M</t>
  </si>
  <si>
    <t>95.66M</t>
  </si>
  <si>
    <t>105.50M</t>
  </si>
  <si>
    <t>67.50M</t>
  </si>
  <si>
    <t>51.76M</t>
  </si>
  <si>
    <t>53.12M</t>
  </si>
  <si>
    <t>60.13M</t>
  </si>
  <si>
    <t>51.29M</t>
  </si>
  <si>
    <t>05/31/2024</t>
  </si>
  <si>
    <t>150.58M</t>
  </si>
  <si>
    <t>05/30/2024</t>
  </si>
  <si>
    <t>49.49M</t>
  </si>
  <si>
    <t>05/29/2024</t>
  </si>
  <si>
    <t>62.60M</t>
  </si>
  <si>
    <t>05/28/2024</t>
  </si>
  <si>
    <t>45.67M</t>
  </si>
  <si>
    <t>05/27/2024</t>
  </si>
  <si>
    <t>31.03M</t>
  </si>
  <si>
    <t>05/24/2024</t>
  </si>
  <si>
    <t>39.40M</t>
  </si>
  <si>
    <t>05/23/2024</t>
  </si>
  <si>
    <t>45.13M</t>
  </si>
  <si>
    <t>05/22/2024</t>
  </si>
  <si>
    <t>51.87M</t>
  </si>
  <si>
    <t>05/21/2024</t>
  </si>
  <si>
    <t>51.37M</t>
  </si>
  <si>
    <t>05/20/2024</t>
  </si>
  <si>
    <t>34.70M</t>
  </si>
  <si>
    <t>05/17/2024</t>
  </si>
  <si>
    <t>63.20M</t>
  </si>
  <si>
    <t>05/16/2024</t>
  </si>
  <si>
    <t>50.66M</t>
  </si>
  <si>
    <t>05/15/2024</t>
  </si>
  <si>
    <t>54.88M</t>
  </si>
  <si>
    <t>05/14/2024</t>
  </si>
  <si>
    <t>51.52M</t>
  </si>
  <si>
    <t>05/13/2024</t>
  </si>
  <si>
    <t>48.11M</t>
  </si>
  <si>
    <t>57.09M</t>
  </si>
  <si>
    <t>39.07M</t>
  </si>
  <si>
    <t>53.99M</t>
  </si>
  <si>
    <t>58.69M</t>
  </si>
  <si>
    <t>43.78M</t>
  </si>
  <si>
    <t>69.64M</t>
  </si>
  <si>
    <t>75.73M</t>
  </si>
  <si>
    <t>04/30/2024</t>
  </si>
  <si>
    <t>76.46M</t>
  </si>
  <si>
    <t>04/29/2024</t>
  </si>
  <si>
    <t>55.16M</t>
  </si>
  <si>
    <t>04/26/2024</t>
  </si>
  <si>
    <t>65.90M</t>
  </si>
  <si>
    <t>04/25/2024</t>
  </si>
  <si>
    <t>70.13M</t>
  </si>
  <si>
    <t>04/24/2024</t>
  </si>
  <si>
    <t>69.59M</t>
  </si>
  <si>
    <t>04/23/2024</t>
  </si>
  <si>
    <t>64.05M</t>
  </si>
  <si>
    <t>04/22/2024</t>
  </si>
  <si>
    <t>56.90M</t>
  </si>
  <si>
    <t>04/19/2024</t>
  </si>
  <si>
    <t>65.69M</t>
  </si>
  <si>
    <t>04/18/2024</t>
  </si>
  <si>
    <t>57.58M</t>
  </si>
  <si>
    <t>04/17/2024</t>
  </si>
  <si>
    <t>59.95M</t>
  </si>
  <si>
    <t>04/16/2024</t>
  </si>
  <si>
    <t>73.14M</t>
  </si>
  <si>
    <t>04/15/2024</t>
  </si>
  <si>
    <t>59.19M</t>
  </si>
  <si>
    <t>62.26M</t>
  </si>
  <si>
    <t>56.91M</t>
  </si>
  <si>
    <t>52.22M</t>
  </si>
  <si>
    <t>49.23M</t>
  </si>
  <si>
    <t>65.17M</t>
  </si>
  <si>
    <t>49.45M</t>
  </si>
  <si>
    <t>63.54M</t>
  </si>
  <si>
    <t>71.70M</t>
  </si>
  <si>
    <t>03/28/2024</t>
  </si>
  <si>
    <t>63.58M</t>
  </si>
  <si>
    <t>03/27/2024</t>
  </si>
  <si>
    <t>49.55M</t>
  </si>
  <si>
    <t>03/26/2024</t>
  </si>
  <si>
    <t>03/25/2024</t>
  </si>
  <si>
    <t>45.33M</t>
  </si>
  <si>
    <t>03/22/2024</t>
  </si>
  <si>
    <t>50.22M</t>
  </si>
  <si>
    <t>03/21/2024</t>
  </si>
  <si>
    <t>60.10M</t>
  </si>
  <si>
    <t>03/20/2024</t>
  </si>
  <si>
    <t>44.96M</t>
  </si>
  <si>
    <t>03/19/2024</t>
  </si>
  <si>
    <t>51.45M</t>
  </si>
  <si>
    <t>03/18/2024</t>
  </si>
  <si>
    <t>44.61M</t>
  </si>
  <si>
    <t>03/15/2024</t>
  </si>
  <si>
    <t>151.12M</t>
  </si>
  <si>
    <t>03/14/2024</t>
  </si>
  <si>
    <t>62.29M</t>
  </si>
  <si>
    <t>03/13/2024</t>
  </si>
  <si>
    <t>63.15M</t>
  </si>
  <si>
    <t>68.92M</t>
  </si>
  <si>
    <t>50.59M</t>
  </si>
  <si>
    <t>50.76M</t>
  </si>
  <si>
    <t>63.19M</t>
  </si>
  <si>
    <t>53.37M</t>
  </si>
  <si>
    <t>49.95M</t>
  </si>
  <si>
    <t>44.55M</t>
  </si>
  <si>
    <t>51.11M</t>
  </si>
  <si>
    <t>02/29/2024</t>
  </si>
  <si>
    <t>108.53M</t>
  </si>
  <si>
    <t>02/28/2024</t>
  </si>
  <si>
    <t>52.76M</t>
  </si>
  <si>
    <t>02/27/2024</t>
  </si>
  <si>
    <t>50.40M</t>
  </si>
  <si>
    <t>02/26/2024</t>
  </si>
  <si>
    <t>50.92M</t>
  </si>
  <si>
    <t>02/23/2024</t>
  </si>
  <si>
    <t>56.24M</t>
  </si>
  <si>
    <t>02/22/2024</t>
  </si>
  <si>
    <t>69.99M</t>
  </si>
  <si>
    <t>02/21/2024</t>
  </si>
  <si>
    <t>56.41M</t>
  </si>
  <si>
    <t>02/20/2024</t>
  </si>
  <si>
    <t>58.21M</t>
  </si>
  <si>
    <t>02/19/2024</t>
  </si>
  <si>
    <t>40.79M</t>
  </si>
  <si>
    <t>02/16/2024</t>
  </si>
  <si>
    <t>02/15/2024</t>
  </si>
  <si>
    <t>70.69M</t>
  </si>
  <si>
    <t>02/14/2024</t>
  </si>
  <si>
    <t>53.51M</t>
  </si>
  <si>
    <t>02/13/2024</t>
  </si>
  <si>
    <t>61.42M</t>
  </si>
  <si>
    <t>54.10M</t>
  </si>
  <si>
    <t>65.85M</t>
  </si>
  <si>
    <t>76.65M</t>
  </si>
  <si>
    <t>56.89M</t>
  </si>
  <si>
    <t>51.73M</t>
  </si>
  <si>
    <t>54.02M</t>
  </si>
  <si>
    <t>74.00M</t>
  </si>
  <si>
    <t>01/31/2024</t>
  </si>
  <si>
    <t>66.99M</t>
  </si>
  <si>
    <t>01/30/2024</t>
  </si>
  <si>
    <t>49.66M</t>
  </si>
  <si>
    <t>01/29/2024</t>
  </si>
  <si>
    <t>55.59M</t>
  </si>
  <si>
    <t>01/26/2024</t>
  </si>
  <si>
    <t>67.45M</t>
  </si>
  <si>
    <t>01/25/2024</t>
  </si>
  <si>
    <t>48.43M</t>
  </si>
  <si>
    <t>01/24/2024</t>
  </si>
  <si>
    <t>58.53M</t>
  </si>
  <si>
    <t>01/23/2024</t>
  </si>
  <si>
    <t>50.06M</t>
  </si>
  <si>
    <t>01/22/2024</t>
  </si>
  <si>
    <t>47.90M</t>
  </si>
  <si>
    <t>01/19/2024</t>
  </si>
  <si>
    <t>51.57M</t>
  </si>
  <si>
    <t>01/18/2024</t>
  </si>
  <si>
    <t>51.15M</t>
  </si>
  <si>
    <t>01/17/2024</t>
  </si>
  <si>
    <t>59.43M</t>
  </si>
  <si>
    <t>01/16/2024</t>
  </si>
  <si>
    <t>49.82M</t>
  </si>
  <si>
    <t>01/15/2024</t>
  </si>
  <si>
    <t>40.57M</t>
  </si>
  <si>
    <t>50.30M</t>
  </si>
  <si>
    <t>57.82M</t>
  </si>
  <si>
    <t>43.70M</t>
  </si>
  <si>
    <t>45.16M</t>
  </si>
  <si>
    <t>37.43M</t>
  </si>
  <si>
    <t>43.82M</t>
  </si>
  <si>
    <t>51.88M</t>
  </si>
  <si>
    <t>63.69M</t>
  </si>
  <si>
    <t>43.44M</t>
  </si>
  <si>
    <t>12/29/2023</t>
  </si>
  <si>
    <t>27.80M</t>
  </si>
  <si>
    <t>12/28/2023</t>
  </si>
  <si>
    <t>31.28M</t>
  </si>
  <si>
    <t>12/27/2023</t>
  </si>
  <si>
    <t>31.60M</t>
  </si>
  <si>
    <t>12/22/2023</t>
  </si>
  <si>
    <t>31.76M</t>
  </si>
  <si>
    <t>12/21/2023</t>
  </si>
  <si>
    <t>36.20M</t>
  </si>
  <si>
    <t>12/20/2023</t>
  </si>
  <si>
    <t>43.86M</t>
  </si>
  <si>
    <t>12/19/2023</t>
  </si>
  <si>
    <t>48.69M</t>
  </si>
  <si>
    <t>12/18/2023</t>
  </si>
  <si>
    <t>53.71M</t>
  </si>
  <si>
    <t>12/15/2023</t>
  </si>
  <si>
    <t>134.49M</t>
  </si>
  <si>
    <t>12/14/2023</t>
  </si>
  <si>
    <t>91.15M</t>
  </si>
  <si>
    <t>12/13/2023</t>
  </si>
  <si>
    <t>62.23M</t>
  </si>
  <si>
    <t>50.14M</t>
  </si>
  <si>
    <t>59.30M</t>
  </si>
  <si>
    <t>52.25M</t>
  </si>
  <si>
    <t>60.29M</t>
  </si>
  <si>
    <t>57.28M</t>
  </si>
  <si>
    <t>46.58M</t>
  </si>
  <si>
    <t>53.50M</t>
  </si>
  <si>
    <t>11/30/2023</t>
  </si>
  <si>
    <t>126.88M</t>
  </si>
  <si>
    <t>11/29/2023</t>
  </si>
  <si>
    <t>53.87M</t>
  </si>
  <si>
    <t>11/28/2023</t>
  </si>
  <si>
    <t>42.47M</t>
  </si>
  <si>
    <t>11/27/2023</t>
  </si>
  <si>
    <t>38.50M</t>
  </si>
  <si>
    <t>11/24/2023</t>
  </si>
  <si>
    <t>37.99M</t>
  </si>
  <si>
    <t>11/23/2023</t>
  </si>
  <si>
    <t>31.47M</t>
  </si>
  <si>
    <t>11/22/2023</t>
  </si>
  <si>
    <t>40.26M</t>
  </si>
  <si>
    <t>11/21/2023</t>
  </si>
  <si>
    <t>39.93M</t>
  </si>
  <si>
    <t>11/20/2023</t>
  </si>
  <si>
    <t>41.81M</t>
  </si>
  <si>
    <t>11/17/2023</t>
  </si>
  <si>
    <t>63.67M</t>
  </si>
  <si>
    <t>11/16/2023</t>
  </si>
  <si>
    <t>53.81M</t>
  </si>
  <si>
    <t>11/15/2023</t>
  </si>
  <si>
    <t>73.27M</t>
  </si>
  <si>
    <t>11/14/2023</t>
  </si>
  <si>
    <t>65.73M</t>
  </si>
  <si>
    <t>11/13/2023</t>
  </si>
  <si>
    <t>48.08M</t>
  </si>
  <si>
    <t>55.00M</t>
  </si>
  <si>
    <t>52.40M</t>
  </si>
  <si>
    <t>55.27M</t>
  </si>
  <si>
    <t>49.09M</t>
  </si>
  <si>
    <t>67.59M</t>
  </si>
  <si>
    <t>67.51M</t>
  </si>
  <si>
    <t>50.43M</t>
  </si>
  <si>
    <t>10/31/2023</t>
  </si>
  <si>
    <t>66.34M</t>
  </si>
  <si>
    <t>10/30/2023</t>
  </si>
  <si>
    <t>59.56M</t>
  </si>
  <si>
    <t>10/27/2023</t>
  </si>
  <si>
    <t>68.76M</t>
  </si>
  <si>
    <t>10/26/2023</t>
  </si>
  <si>
    <t>71.58M</t>
  </si>
  <si>
    <t>10/25/2023</t>
  </si>
  <si>
    <t>69.11M</t>
  </si>
  <si>
    <t>10/24/2023</t>
  </si>
  <si>
    <t>58.81M</t>
  </si>
  <si>
    <t>10/23/2023</t>
  </si>
  <si>
    <t>53.04M</t>
  </si>
  <si>
    <t>10/20/2023</t>
  </si>
  <si>
    <t>79.13M</t>
  </si>
  <si>
    <t>10/19/2023</t>
  </si>
  <si>
    <t>62.44M</t>
  </si>
  <si>
    <t>10/18/2023</t>
  </si>
  <si>
    <t>49.96M</t>
  </si>
  <si>
    <t>10/17/2023</t>
  </si>
  <si>
    <t>44.93M</t>
  </si>
  <si>
    <t>10/16/2023</t>
  </si>
  <si>
    <t>51.42M</t>
  </si>
  <si>
    <t>10/13/2023</t>
  </si>
  <si>
    <t>67.41M</t>
  </si>
  <si>
    <t>51.30M</t>
  </si>
  <si>
    <t>59.89M</t>
  </si>
  <si>
    <t>52.19M</t>
  </si>
  <si>
    <t>60.66M</t>
  </si>
  <si>
    <t>62.85M</t>
  </si>
  <si>
    <t>53.55M</t>
  </si>
  <si>
    <t>54.17M</t>
  </si>
  <si>
    <t>09/29/2023</t>
  </si>
  <si>
    <t>62.31M</t>
  </si>
  <si>
    <t>09/28/2023</t>
  </si>
  <si>
    <t>53.88M</t>
  </si>
  <si>
    <t>09/27/2023</t>
  </si>
  <si>
    <t>52.63M</t>
  </si>
  <si>
    <t>09/26/2023</t>
  </si>
  <si>
    <t>49.37M</t>
  </si>
  <si>
    <t>09/25/2023</t>
  </si>
  <si>
    <t>50.38M</t>
  </si>
  <si>
    <t>09/22/2023</t>
  </si>
  <si>
    <t>53.60M</t>
  </si>
  <si>
    <t>09/21/2023</t>
  </si>
  <si>
    <t>60.32M</t>
  </si>
  <si>
    <t>09/20/2023</t>
  </si>
  <si>
    <t>58.76M</t>
  </si>
  <si>
    <t>09/19/2023</t>
  </si>
  <si>
    <t>53.26M</t>
  </si>
  <si>
    <t>09/18/2023</t>
  </si>
  <si>
    <t>73.47M</t>
  </si>
  <si>
    <t>09/15/2023</t>
  </si>
  <si>
    <t>154.93M</t>
  </si>
  <si>
    <t>09/14/2023</t>
  </si>
  <si>
    <t>68.70M</t>
  </si>
  <si>
    <t>09/13/2023</t>
  </si>
  <si>
    <t>53.76M</t>
  </si>
  <si>
    <t>49.02M</t>
  </si>
  <si>
    <t>45.37M</t>
  </si>
  <si>
    <t>45.10M</t>
  </si>
  <si>
    <t>50.97M</t>
  </si>
  <si>
    <t>51.00M</t>
  </si>
  <si>
    <t>51.49M</t>
  </si>
  <si>
    <t>34.35M</t>
  </si>
  <si>
    <t>45.90M</t>
  </si>
  <si>
    <t>08/31/2023</t>
  </si>
  <si>
    <t>97.99M</t>
  </si>
  <si>
    <t>08/30/2023</t>
  </si>
  <si>
    <t>37.84M</t>
  </si>
  <si>
    <t>08/29/2023</t>
  </si>
  <si>
    <t>47.51M</t>
  </si>
  <si>
    <t>08/28/2023</t>
  </si>
  <si>
    <t>35.23M</t>
  </si>
  <si>
    <t>08/25/2023</t>
  </si>
  <si>
    <t>32.96M</t>
  </si>
  <si>
    <t>08/24/2023</t>
  </si>
  <si>
    <t>37.45M</t>
  </si>
  <si>
    <t>08/23/2023</t>
  </si>
  <si>
    <t>39.13M</t>
  </si>
  <si>
    <t>08/22/2023</t>
  </si>
  <si>
    <t>08/21/2023</t>
  </si>
  <si>
    <t>39.85M</t>
  </si>
  <si>
    <t>08/18/2023</t>
  </si>
  <si>
    <t>49.42M</t>
  </si>
  <si>
    <t>08/17/2023</t>
  </si>
  <si>
    <t>44.49M</t>
  </si>
  <si>
    <t>08/16/2023</t>
  </si>
  <si>
    <t>35.67M</t>
  </si>
  <si>
    <t>08/15/2023</t>
  </si>
  <si>
    <t>36.01M</t>
  </si>
  <si>
    <t>08/14/2023</t>
  </si>
  <si>
    <t>37.85M</t>
  </si>
  <si>
    <t>55.46M</t>
  </si>
  <si>
    <t>49.54M</t>
  </si>
  <si>
    <t>59.93M</t>
  </si>
  <si>
    <t>67.38M</t>
  </si>
  <si>
    <t>70.02M</t>
  </si>
  <si>
    <t>66.10M</t>
  </si>
  <si>
    <t>53.83M</t>
  </si>
  <si>
    <t>07/31/2023</t>
  </si>
  <si>
    <t>60.79M</t>
  </si>
  <si>
    <t>07/28/2023</t>
  </si>
  <si>
    <t>68.28M</t>
  </si>
  <si>
    <t>07/27/2023</t>
  </si>
  <si>
    <t>81.04M</t>
  </si>
  <si>
    <t>07/26/2023</t>
  </si>
  <si>
    <t>61.67M</t>
  </si>
  <si>
    <t>07/25/2023</t>
  </si>
  <si>
    <t>46.59M</t>
  </si>
  <si>
    <t>07/24/2023</t>
  </si>
  <si>
    <t>42.72M</t>
  </si>
  <si>
    <t>07/21/2023</t>
  </si>
  <si>
    <t>50.21M</t>
  </si>
  <si>
    <t>07/20/2023</t>
  </si>
  <si>
    <t>52.03M</t>
  </si>
  <si>
    <t>07/19/2023</t>
  </si>
  <si>
    <t>44.83M</t>
  </si>
  <si>
    <t>07/18/2023</t>
  </si>
  <si>
    <t>36.85M</t>
  </si>
  <si>
    <t>07/17/2023</t>
  </si>
  <si>
    <t>35.65M</t>
  </si>
  <si>
    <t>07/14/2023</t>
  </si>
  <si>
    <t>38.96M</t>
  </si>
  <si>
    <t>07/13/2023</t>
  </si>
  <si>
    <t>60.35M</t>
  </si>
  <si>
    <t>43.94M</t>
  </si>
  <si>
    <t>41.30M</t>
  </si>
  <si>
    <t>55.69M</t>
  </si>
  <si>
    <t>83.22M</t>
  </si>
  <si>
    <t>38.12M</t>
  </si>
  <si>
    <t>46.76M</t>
  </si>
  <si>
    <t>06/30/2023</t>
  </si>
  <si>
    <t>84.28M</t>
  </si>
  <si>
    <t>06/29/2023</t>
  </si>
  <si>
    <t>60.93M</t>
  </si>
  <si>
    <t>06/28/2023</t>
  </si>
  <si>
    <t>53.59M</t>
  </si>
  <si>
    <t>06/27/2023</t>
  </si>
  <si>
    <t>49.89M</t>
  </si>
  <si>
    <t>06/26/2023</t>
  </si>
  <si>
    <t>52.61M</t>
  </si>
  <si>
    <t>06/23/2023</t>
  </si>
  <si>
    <t>51.94M</t>
  </si>
  <si>
    <t>06/22/2023</t>
  </si>
  <si>
    <t>53.70M</t>
  </si>
  <si>
    <t>06/21/2023</t>
  </si>
  <si>
    <t>48.41M</t>
  </si>
  <si>
    <t>06/20/2023</t>
  </si>
  <si>
    <t>55.85M</t>
  </si>
  <si>
    <t>06/19/2023</t>
  </si>
  <si>
    <t>51.93M</t>
  </si>
  <si>
    <t>06/16/2023</t>
  </si>
  <si>
    <t>170.73M</t>
  </si>
  <si>
    <t>06/15/2023</t>
  </si>
  <si>
    <t>60.42M</t>
  </si>
  <si>
    <t>06/14/2023</t>
  </si>
  <si>
    <t>66.15M</t>
  </si>
  <si>
    <t>06/13/2023</t>
  </si>
  <si>
    <t>65.50M</t>
  </si>
  <si>
    <t>57.29M</t>
  </si>
  <si>
    <t>51.06M</t>
  </si>
  <si>
    <t>50.82M</t>
  </si>
  <si>
    <t>54.50M</t>
  </si>
  <si>
    <t>71.14M</t>
  </si>
  <si>
    <t>58.14M</t>
  </si>
  <si>
    <t>05/31/2023</t>
  </si>
  <si>
    <t>214.68M</t>
  </si>
  <si>
    <t>05/30/2023</t>
  </si>
  <si>
    <t>69.22M</t>
  </si>
  <si>
    <t>05/29/2023</t>
  </si>
  <si>
    <t>33.46M</t>
  </si>
  <si>
    <t>05/26/2023</t>
  </si>
  <si>
    <t>58.22M</t>
  </si>
  <si>
    <t>05/25/2023</t>
  </si>
  <si>
    <t>59.44M</t>
  </si>
  <si>
    <t>05/24/2023</t>
  </si>
  <si>
    <t>77.51M</t>
  </si>
  <si>
    <t>05/23/2023</t>
  </si>
  <si>
    <t>65.79M</t>
  </si>
  <si>
    <t>05/22/2023</t>
  </si>
  <si>
    <t>57.44M</t>
  </si>
  <si>
    <t>05/19/2023</t>
  </si>
  <si>
    <t>67.97M</t>
  </si>
  <si>
    <t>05/18/2023</t>
  </si>
  <si>
    <t>59.99M</t>
  </si>
  <si>
    <t>05/17/2023</t>
  </si>
  <si>
    <t>57.78M</t>
  </si>
  <si>
    <t>05/16/2023</t>
  </si>
  <si>
    <t>61.26M</t>
  </si>
  <si>
    <t>05/15/2023</t>
  </si>
  <si>
    <t>48.64M</t>
  </si>
  <si>
    <t>58.34M</t>
  </si>
  <si>
    <t>64.31M</t>
  </si>
  <si>
    <t>75.39M</t>
  </si>
  <si>
    <t>63.46M</t>
  </si>
  <si>
    <t>46.79M</t>
  </si>
  <si>
    <t>79.97M</t>
  </si>
  <si>
    <t>61.11M</t>
  </si>
  <si>
    <t>83.04M</t>
  </si>
  <si>
    <t>04/28/2023</t>
  </si>
  <si>
    <t>87.01M</t>
  </si>
  <si>
    <t>04/27/2023</t>
  </si>
  <si>
    <t>78.10M</t>
  </si>
  <si>
    <t>04/26/2023</t>
  </si>
  <si>
    <t>91.91M</t>
  </si>
  <si>
    <t>04/25/2023</t>
  </si>
  <si>
    <t>73.95M</t>
  </si>
  <si>
    <t>04/24/2023</t>
  </si>
  <si>
    <t>63.57M</t>
  </si>
  <si>
    <t>04/21/2023</t>
  </si>
  <si>
    <t>73.19M</t>
  </si>
  <si>
    <t>04/20/2023</t>
  </si>
  <si>
    <t>72.89M</t>
  </si>
  <si>
    <t>04/19/2023</t>
  </si>
  <si>
    <t>63.09M</t>
  </si>
  <si>
    <t>04/18/2023</t>
  </si>
  <si>
    <t>67.64M</t>
  </si>
  <si>
    <t>04/17/2023</t>
  </si>
  <si>
    <t>67.75M</t>
  </si>
  <si>
    <t>04/14/2023</t>
  </si>
  <si>
    <t>71.86M</t>
  </si>
  <si>
    <t>04/13/2023</t>
  </si>
  <si>
    <t>59.15M</t>
  </si>
  <si>
    <t>67.27M</t>
  </si>
  <si>
    <t>76.91M</t>
  </si>
  <si>
    <t>66.32M</t>
  </si>
  <si>
    <t>64.07M</t>
  </si>
  <si>
    <t>03/31/2023</t>
  </si>
  <si>
    <t>84.34M</t>
  </si>
  <si>
    <t>03/30/2023</t>
  </si>
  <si>
    <t>73.85M</t>
  </si>
  <si>
    <t>03/29/2023</t>
  </si>
  <si>
    <t>78.05M</t>
  </si>
  <si>
    <t>03/28/2023</t>
  </si>
  <si>
    <t>71.63M</t>
  </si>
  <si>
    <t>03/27/2023</t>
  </si>
  <si>
    <t>80.20M</t>
  </si>
  <si>
    <t>03/24/2023</t>
  </si>
  <si>
    <t>117.53M</t>
  </si>
  <si>
    <t>03/23/2023</t>
  </si>
  <si>
    <t>03/22/2023</t>
  </si>
  <si>
    <t>65.19M</t>
  </si>
  <si>
    <t>03/21/2023</t>
  </si>
  <si>
    <t>94.86M</t>
  </si>
  <si>
    <t>03/20/2023</t>
  </si>
  <si>
    <t>121.32M</t>
  </si>
  <si>
    <t>03/17/2023</t>
  </si>
  <si>
    <t>203.83M</t>
  </si>
  <si>
    <t>03/16/2023</t>
  </si>
  <si>
    <t>132.83M</t>
  </si>
  <si>
    <t>03/15/2023</t>
  </si>
  <si>
    <t>174.80M</t>
  </si>
  <si>
    <t>03/14/2023</t>
  </si>
  <si>
    <t>100.86M</t>
  </si>
  <si>
    <t>03/13/2023</t>
  </si>
  <si>
    <t>141.25M</t>
  </si>
  <si>
    <t>99.78M</t>
  </si>
  <si>
    <t>64.74M</t>
  </si>
  <si>
    <t>64.09M</t>
  </si>
  <si>
    <t>68.68M</t>
  </si>
  <si>
    <t>67.66M</t>
  </si>
  <si>
    <t>70.46M</t>
  </si>
  <si>
    <t>79.25M</t>
  </si>
  <si>
    <t>02/28/2023</t>
  </si>
  <si>
    <t>102.73M</t>
  </si>
  <si>
    <t>02/27/2023</t>
  </si>
  <si>
    <t>69.31M</t>
  </si>
  <si>
    <t>02/24/2023</t>
  </si>
  <si>
    <t>94.52M</t>
  </si>
  <si>
    <t>02/23/2023</t>
  </si>
  <si>
    <t>79.94M</t>
  </si>
  <si>
    <t>02/22/2023</t>
  </si>
  <si>
    <t>83.81M</t>
  </si>
  <si>
    <t>02/21/2023</t>
  </si>
  <si>
    <t>68.75M</t>
  </si>
  <si>
    <t>02/20/2023</t>
  </si>
  <si>
    <t>48.62M</t>
  </si>
  <si>
    <t>02/17/2023</t>
  </si>
  <si>
    <t>80.23M</t>
  </si>
  <si>
    <t>02/16/2023</t>
  </si>
  <si>
    <t>91.73M</t>
  </si>
  <si>
    <t>02/15/2023</t>
  </si>
  <si>
    <t>75.50M</t>
  </si>
  <si>
    <t>02/14/2023</t>
  </si>
  <si>
    <t>73.28M</t>
  </si>
  <si>
    <t>02/13/2023</t>
  </si>
  <si>
    <t>57.94M</t>
  </si>
  <si>
    <t>79.15M</t>
  </si>
  <si>
    <t>81.78M</t>
  </si>
  <si>
    <t>84.75M</t>
  </si>
  <si>
    <t>73.51M</t>
  </si>
  <si>
    <t>68.29M</t>
  </si>
  <si>
    <t>89.99M</t>
  </si>
  <si>
    <t>95.95M</t>
  </si>
  <si>
    <t>63.65M</t>
  </si>
  <si>
    <t>01/31/2023</t>
  </si>
  <si>
    <t>78.06M</t>
  </si>
  <si>
    <t>01/30/2023</t>
  </si>
  <si>
    <t>60.63M</t>
  </si>
  <si>
    <t>01/27/2023</t>
  </si>
  <si>
    <t>68.17M</t>
  </si>
  <si>
    <t>01/26/2023</t>
  </si>
  <si>
    <t>68.51M</t>
  </si>
  <si>
    <t>01/25/2023</t>
  </si>
  <si>
    <t>55.62M</t>
  </si>
  <si>
    <t>01/24/2023</t>
  </si>
  <si>
    <t>01/23/2023</t>
  </si>
  <si>
    <t>01/20/2023</t>
  </si>
  <si>
    <t>64.03M</t>
  </si>
  <si>
    <t>01/19/2023</t>
  </si>
  <si>
    <t>80.49M</t>
  </si>
  <si>
    <t>01/18/2023</t>
  </si>
  <si>
    <t>68.10M</t>
  </si>
  <si>
    <t>01/17/2023</t>
  </si>
  <si>
    <t>82.34M</t>
  </si>
  <si>
    <t>01/16/2023</t>
  </si>
  <si>
    <t>56.44M</t>
  </si>
  <si>
    <t>01/13/2023</t>
  </si>
  <si>
    <t>76.36M</t>
  </si>
  <si>
    <t>82.17M</t>
  </si>
  <si>
    <t>76.44M</t>
  </si>
  <si>
    <t>64.47M</t>
  </si>
  <si>
    <t>78.53M</t>
  </si>
  <si>
    <t>69.52M</t>
  </si>
  <si>
    <t>71.67M</t>
  </si>
  <si>
    <t>94.39M</t>
  </si>
  <si>
    <t>73.99M</t>
  </si>
  <si>
    <t>47.39M</t>
  </si>
  <si>
    <t>12/30/2022</t>
  </si>
  <si>
    <t>42.84M</t>
  </si>
  <si>
    <t>12/29/2022</t>
  </si>
  <si>
    <t>41.26M</t>
  </si>
  <si>
    <t>12/28/2022</t>
  </si>
  <si>
    <t>40.11M</t>
  </si>
  <si>
    <t>12/27/2022</t>
  </si>
  <si>
    <t>33.01M</t>
  </si>
  <si>
    <t>12/23/2022</t>
  </si>
  <si>
    <t>42.98M</t>
  </si>
  <si>
    <t>12/22/2022</t>
  </si>
  <si>
    <t>56.19M</t>
  </si>
  <si>
    <t>12/21/2022</t>
  </si>
  <si>
    <t>70.96M</t>
  </si>
  <si>
    <t>12/20/2022</t>
  </si>
  <si>
    <t>74.26M</t>
  </si>
  <si>
    <t>12/19/2022</t>
  </si>
  <si>
    <t>64.48M</t>
  </si>
  <si>
    <t>12/16/2022</t>
  </si>
  <si>
    <t>156.20M</t>
  </si>
  <si>
    <t>12/15/2022</t>
  </si>
  <si>
    <t>103.76M</t>
  </si>
  <si>
    <t>12/14/2022</t>
  </si>
  <si>
    <t>76.95M</t>
  </si>
  <si>
    <t>12/13/2022</t>
  </si>
  <si>
    <t>86.74M</t>
  </si>
  <si>
    <t>62.59M</t>
  </si>
  <si>
    <t>73.55M</t>
  </si>
  <si>
    <t>67.34M</t>
  </si>
  <si>
    <t>68.97M</t>
  </si>
  <si>
    <t>65.00M</t>
  </si>
  <si>
    <t>73.97M</t>
  </si>
  <si>
    <t>76.83M</t>
  </si>
  <si>
    <t>11/30/2022</t>
  </si>
  <si>
    <t>137.63M</t>
  </si>
  <si>
    <t>11/29/2022</t>
  </si>
  <si>
    <t>64.66M</t>
  </si>
  <si>
    <t>11/28/2022</t>
  </si>
  <si>
    <t>66.21M</t>
  </si>
  <si>
    <t>11/25/2022</t>
  </si>
  <si>
    <t>47.93M</t>
  </si>
  <si>
    <t>11/24/2022</t>
  </si>
  <si>
    <t>53.78M</t>
  </si>
  <si>
    <t>11/23/2022</t>
  </si>
  <si>
    <t>55.28M</t>
  </si>
  <si>
    <t>11/22/2022</t>
  </si>
  <si>
    <t>63.96M</t>
  </si>
  <si>
    <t>11/21/2022</t>
  </si>
  <si>
    <t>65.02M</t>
  </si>
  <si>
    <t>11/18/2022</t>
  </si>
  <si>
    <t>83.55M</t>
  </si>
  <si>
    <t>11/17/2022</t>
  </si>
  <si>
    <t>70.51M</t>
  </si>
  <si>
    <t>11/16/2022</t>
  </si>
  <si>
    <t>85.20M</t>
  </si>
  <si>
    <t>11/15/2022</t>
  </si>
  <si>
    <t>11/14/2022</t>
  </si>
  <si>
    <t>78.28M</t>
  </si>
  <si>
    <t>98.34M</t>
  </si>
  <si>
    <t>115.49M</t>
  </si>
  <si>
    <t>65.30M</t>
  </si>
  <si>
    <t>74.72M</t>
  </si>
  <si>
    <t>99.10M</t>
  </si>
  <si>
    <t>70.82M</t>
  </si>
  <si>
    <t>68.32M</t>
  </si>
  <si>
    <t>60.55M</t>
  </si>
  <si>
    <t>10/31/2022</t>
  </si>
  <si>
    <t>66.51M</t>
  </si>
  <si>
    <t>10/28/2022</t>
  </si>
  <si>
    <t>72.52M</t>
  </si>
  <si>
    <t>10/27/2022</t>
  </si>
  <si>
    <t>85.18M</t>
  </si>
  <si>
    <t>10/26/2022</t>
  </si>
  <si>
    <t>68.83M</t>
  </si>
  <si>
    <t>10/25/2022</t>
  </si>
  <si>
    <t>78.26M</t>
  </si>
  <si>
    <t>10/24/2022</t>
  </si>
  <si>
    <t>78.77M</t>
  </si>
  <si>
    <t>10/21/2022</t>
  </si>
  <si>
    <t>72.70M</t>
  </si>
  <si>
    <t>10/20/2022</t>
  </si>
  <si>
    <t>62.63M</t>
  </si>
  <si>
    <t>10/19/2022</t>
  </si>
  <si>
    <t>66.38M</t>
  </si>
  <si>
    <t>10/18/2022</t>
  </si>
  <si>
    <t>66.54M</t>
  </si>
  <si>
    <t>10/17/2022</t>
  </si>
  <si>
    <t>63.83M</t>
  </si>
  <si>
    <t>10/14/2022</t>
  </si>
  <si>
    <t>80.22M</t>
  </si>
  <si>
    <t>10/13/2022</t>
  </si>
  <si>
    <t>86.71M</t>
  </si>
  <si>
    <t>70.10M</t>
  </si>
  <si>
    <t>66.02M</t>
  </si>
  <si>
    <t>64.92M</t>
  </si>
  <si>
    <t>65.70M</t>
  </si>
  <si>
    <t>63.74M</t>
  </si>
  <si>
    <t>75.12M</t>
  </si>
  <si>
    <t>95.39M</t>
  </si>
  <si>
    <t>80.85M</t>
  </si>
  <si>
    <t>09/30/2022</t>
  </si>
  <si>
    <t>09/29/2022</t>
  </si>
  <si>
    <t>102.42M</t>
  </si>
  <si>
    <t>09/28/2022</t>
  </si>
  <si>
    <t>106.67M</t>
  </si>
  <si>
    <t>09/27/2022</t>
  </si>
  <si>
    <t>85.03M</t>
  </si>
  <si>
    <t>09/26/2022</t>
  </si>
  <si>
    <t>78.60M</t>
  </si>
  <si>
    <t>09/23/2022</t>
  </si>
  <si>
    <t>92.47M</t>
  </si>
  <si>
    <t>09/22/2022</t>
  </si>
  <si>
    <t>72.76M</t>
  </si>
  <si>
    <t>09/21/2022</t>
  </si>
  <si>
    <t>70.19M</t>
  </si>
  <si>
    <t>09/20/2022</t>
  </si>
  <si>
    <t>77.47M</t>
  </si>
  <si>
    <t>09/19/2022</t>
  </si>
  <si>
    <t>51.60M</t>
  </si>
  <si>
    <t>09/16/2022</t>
  </si>
  <si>
    <t>153.17M</t>
  </si>
  <si>
    <t>09/15/2022</t>
  </si>
  <si>
    <t>74.84M</t>
  </si>
  <si>
    <t>09/14/2022</t>
  </si>
  <si>
    <t>75.47M</t>
  </si>
  <si>
    <t>09/13/2022</t>
  </si>
  <si>
    <t>79.00M</t>
  </si>
  <si>
    <t>77.48M</t>
  </si>
  <si>
    <t>72.21M</t>
  </si>
  <si>
    <t>75.08M</t>
  </si>
  <si>
    <t>71.61M</t>
  </si>
  <si>
    <t>54.76M</t>
  </si>
  <si>
    <t>76.45M</t>
  </si>
  <si>
    <t>74.06M</t>
  </si>
  <si>
    <t>08/31/2022</t>
  </si>
  <si>
    <t>109.61M</t>
  </si>
  <si>
    <t>08/30/2022</t>
  </si>
  <si>
    <t>65.57M</t>
  </si>
  <si>
    <t>08/29/2022</t>
  </si>
  <si>
    <t>54.87M</t>
  </si>
  <si>
    <t>08/26/2022</t>
  </si>
  <si>
    <t>08/25/2022</t>
  </si>
  <si>
    <t>49.50M</t>
  </si>
  <si>
    <t>08/24/2022</t>
  </si>
  <si>
    <t>52.70M</t>
  </si>
  <si>
    <t>08/23/2022</t>
  </si>
  <si>
    <t>60.09M</t>
  </si>
  <si>
    <t>08/22/2022</t>
  </si>
  <si>
    <t>08/19/2022</t>
  </si>
  <si>
    <t>65.89M</t>
  </si>
  <si>
    <t>08/18/2022</t>
  </si>
  <si>
    <t>52.23M</t>
  </si>
  <si>
    <t>08/17/2022</t>
  </si>
  <si>
    <t>62.91M</t>
  </si>
  <si>
    <t>08/16/2022</t>
  </si>
  <si>
    <t>56.35M</t>
  </si>
  <si>
    <t>08/15/2022</t>
  </si>
  <si>
    <t>59.40M</t>
  </si>
  <si>
    <t>63.49M</t>
  </si>
  <si>
    <t>67.98M</t>
  </si>
  <si>
    <t>57.50M</t>
  </si>
  <si>
    <t>71.66M</t>
  </si>
  <si>
    <t>75.07M</t>
  </si>
  <si>
    <t>78.44M</t>
  </si>
  <si>
    <t>66.08M</t>
  </si>
  <si>
    <t>64.44M</t>
  </si>
  <si>
    <t>07/29/2022</t>
  </si>
  <si>
    <t>103.12M</t>
  </si>
  <si>
    <t>07/28/2022</t>
  </si>
  <si>
    <t>92.17M</t>
  </si>
  <si>
    <t>07/27/2022</t>
  </si>
  <si>
    <t>07/26/2022</t>
  </si>
  <si>
    <t>60.56M</t>
  </si>
  <si>
    <t>07/25/2022</t>
  </si>
  <si>
    <t>60.39M</t>
  </si>
  <si>
    <t>07/22/2022</t>
  </si>
  <si>
    <t>68.73M</t>
  </si>
  <si>
    <t>07/21/2022</t>
  </si>
  <si>
    <t>78.63M</t>
  </si>
  <si>
    <t>07/20/2022</t>
  </si>
  <si>
    <t>76.81M</t>
  </si>
  <si>
    <t>07/19/2022</t>
  </si>
  <si>
    <t>07/18/2022</t>
  </si>
  <si>
    <t>59.88M</t>
  </si>
  <si>
    <t>07/15/2022</t>
  </si>
  <si>
    <t>76.21M</t>
  </si>
  <si>
    <t>07/14/2022</t>
  </si>
  <si>
    <t>72.94M</t>
  </si>
  <si>
    <t>07/13/2022</t>
  </si>
  <si>
    <t>70.80M</t>
  </si>
  <si>
    <t>71.12M</t>
  </si>
  <si>
    <t>59.50M</t>
  </si>
  <si>
    <t>76.86M</t>
  </si>
  <si>
    <t>89.62M</t>
  </si>
  <si>
    <t>104.29M</t>
  </si>
  <si>
    <t>54.44M</t>
  </si>
  <si>
    <t>72.81M</t>
  </si>
  <si>
    <t>06/30/2022</t>
  </si>
  <si>
    <t>115.33M</t>
  </si>
  <si>
    <t>06/29/2022</t>
  </si>
  <si>
    <t>70.41M</t>
  </si>
  <si>
    <t>06/28/2022</t>
  </si>
  <si>
    <t>64.30M</t>
  </si>
  <si>
    <t>06/27/2022</t>
  </si>
  <si>
    <t>66.24M</t>
  </si>
  <si>
    <t>06/24/2022</t>
  </si>
  <si>
    <t>85.41M</t>
  </si>
  <si>
    <t>06/23/2022</t>
  </si>
  <si>
    <t>89.90M</t>
  </si>
  <si>
    <t>06/22/2022</t>
  </si>
  <si>
    <t>87.62M</t>
  </si>
  <si>
    <t>06/21/2022</t>
  </si>
  <si>
    <t>63.11M</t>
  </si>
  <si>
    <t>06/20/2022</t>
  </si>
  <si>
    <t>66.00M</t>
  </si>
  <si>
    <t>06/17/2022</t>
  </si>
  <si>
    <t>181.21M</t>
  </si>
  <si>
    <t>06/16/2022</t>
  </si>
  <si>
    <t>99.48M</t>
  </si>
  <si>
    <t>06/15/2022</t>
  </si>
  <si>
    <t>93.77M</t>
  </si>
  <si>
    <t>06/14/2022</t>
  </si>
  <si>
    <t>85.95M</t>
  </si>
  <si>
    <t>06/13/2022</t>
  </si>
  <si>
    <t>106.54M</t>
  </si>
  <si>
    <t>72.80M</t>
  </si>
  <si>
    <t>73.24M</t>
  </si>
  <si>
    <t>60.14M</t>
  </si>
  <si>
    <t>57.96M</t>
  </si>
  <si>
    <t>74.75M</t>
  </si>
  <si>
    <t>05/31/2022</t>
  </si>
  <si>
    <t>162.34M</t>
  </si>
  <si>
    <t>05/30/2022</t>
  </si>
  <si>
    <t>69.80M</t>
  </si>
  <si>
    <t>05/27/2022</t>
  </si>
  <si>
    <t>70.89M</t>
  </si>
  <si>
    <t>05/26/2022</t>
  </si>
  <si>
    <t>66.12M</t>
  </si>
  <si>
    <t>05/25/2022</t>
  </si>
  <si>
    <t>75.14M</t>
  </si>
  <si>
    <t>05/24/2022</t>
  </si>
  <si>
    <t>72.01M</t>
  </si>
  <si>
    <t>05/23/2022</t>
  </si>
  <si>
    <t>82.64M</t>
  </si>
  <si>
    <t>05/20/2022</t>
  </si>
  <si>
    <t>92.86M</t>
  </si>
  <si>
    <t>05/19/2022</t>
  </si>
  <si>
    <t>86.23M</t>
  </si>
  <si>
    <t>05/18/2022</t>
  </si>
  <si>
    <t>80.31M</t>
  </si>
  <si>
    <t>05/17/2022</t>
  </si>
  <si>
    <t>86.95M</t>
  </si>
  <si>
    <t>05/16/2022</t>
  </si>
  <si>
    <t>75.09M</t>
  </si>
  <si>
    <t>05/13/2022</t>
  </si>
  <si>
    <t>85.96M</t>
  </si>
  <si>
    <t>105.84M</t>
  </si>
  <si>
    <t>106.22M</t>
  </si>
  <si>
    <t>90.24M</t>
  </si>
  <si>
    <t>91.60M</t>
  </si>
  <si>
    <t>113.12M</t>
  </si>
  <si>
    <t>96.42M</t>
  </si>
  <si>
    <t>72.30M</t>
  </si>
  <si>
    <t>83.36M</t>
  </si>
  <si>
    <t>87.52M</t>
  </si>
  <si>
    <t>04/29/2022</t>
  </si>
  <si>
    <t>83.80M</t>
  </si>
  <si>
    <t>04/28/2022</t>
  </si>
  <si>
    <t>76.05M</t>
  </si>
  <si>
    <t>04/27/2022</t>
  </si>
  <si>
    <t>92.04M</t>
  </si>
  <si>
    <t>04/26/2022</t>
  </si>
  <si>
    <t>95.23M</t>
  </si>
  <si>
    <t>04/25/2022</t>
  </si>
  <si>
    <t>94.93M</t>
  </si>
  <si>
    <t>04/22/2022</t>
  </si>
  <si>
    <t>83.47M</t>
  </si>
  <si>
    <t>04/21/2022</t>
  </si>
  <si>
    <t>88.76M</t>
  </si>
  <si>
    <t>04/20/2022</t>
  </si>
  <si>
    <t>04/19/2022</t>
  </si>
  <si>
    <t>77.65M</t>
  </si>
  <si>
    <t>04/14/2022</t>
  </si>
  <si>
    <t>79.05M</t>
  </si>
  <si>
    <t>04/13/2022</t>
  </si>
  <si>
    <t>72.47M</t>
  </si>
  <si>
    <t>84.72M</t>
  </si>
  <si>
    <t>87.32M</t>
  </si>
  <si>
    <t>91.67M</t>
  </si>
  <si>
    <t>94.48M</t>
  </si>
  <si>
    <t>104.81M</t>
  </si>
  <si>
    <t>103.82M</t>
  </si>
  <si>
    <t>65.15M</t>
  </si>
  <si>
    <t>03/31/2022</t>
  </si>
  <si>
    <t>81.44M</t>
  </si>
  <si>
    <t>03/30/2022</t>
  </si>
  <si>
    <t>80.09M</t>
  </si>
  <si>
    <t>03/29/2022</t>
  </si>
  <si>
    <t>110.15M</t>
  </si>
  <si>
    <t>03/28/2022</t>
  </si>
  <si>
    <t>78.39M</t>
  </si>
  <si>
    <t>03/25/2022</t>
  </si>
  <si>
    <t>73.94M</t>
  </si>
  <si>
    <t>03/24/2022</t>
  </si>
  <si>
    <t>82.20M</t>
  </si>
  <si>
    <t>03/23/2022</t>
  </si>
  <si>
    <t>76.82M</t>
  </si>
  <si>
    <t>03/22/2022</t>
  </si>
  <si>
    <t>79.02M</t>
  </si>
  <si>
    <t>03/21/2022</t>
  </si>
  <si>
    <t>78.34M</t>
  </si>
  <si>
    <t>03/18/2022</t>
  </si>
  <si>
    <t>191.79M</t>
  </si>
  <si>
    <t>03/17/2022</t>
  </si>
  <si>
    <t>100.58M</t>
  </si>
  <si>
    <t>03/16/2022</t>
  </si>
  <si>
    <t>145.25M</t>
  </si>
  <si>
    <t>03/15/2022</t>
  </si>
  <si>
    <t>102.70M</t>
  </si>
  <si>
    <t>03/14/2022</t>
  </si>
  <si>
    <t>113.23M</t>
  </si>
  <si>
    <t>136.39M</t>
  </si>
  <si>
    <t>148.75M</t>
  </si>
  <si>
    <t>189.78M</t>
  </si>
  <si>
    <t>168.21M</t>
  </si>
  <si>
    <t>243.01M</t>
  </si>
  <si>
    <t>180.59M</t>
  </si>
  <si>
    <t>132.46M</t>
  </si>
  <si>
    <t>169.99M</t>
  </si>
  <si>
    <t>171.61M</t>
  </si>
  <si>
    <t>02/28/2022</t>
  </si>
  <si>
    <t>171.93M</t>
  </si>
  <si>
    <t>02/25/2022</t>
  </si>
  <si>
    <t>152.43M</t>
  </si>
  <si>
    <t>02/24/2022</t>
  </si>
  <si>
    <t>207.95M</t>
  </si>
  <si>
    <t>02/23/2022</t>
  </si>
  <si>
    <t>86.39M</t>
  </si>
  <si>
    <t>02/22/2022</t>
  </si>
  <si>
    <t>101.46M</t>
  </si>
  <si>
    <t>02/21/2022</t>
  </si>
  <si>
    <t>81.50M</t>
  </si>
  <si>
    <t>02/18/2022</t>
  </si>
  <si>
    <t>87.35M</t>
  </si>
  <si>
    <t>02/17/2022</t>
  </si>
  <si>
    <t>90.18M</t>
  </si>
  <si>
    <t>02/16/2022</t>
  </si>
  <si>
    <t>74.79M</t>
  </si>
  <si>
    <t>02/15/2022</t>
  </si>
  <si>
    <t>02/14/2022</t>
  </si>
  <si>
    <t>117.97M</t>
  </si>
  <si>
    <t>82.86M</t>
  </si>
  <si>
    <t>86.89M</t>
  </si>
  <si>
    <t>72.65M</t>
  </si>
  <si>
    <t>93.40M</t>
  </si>
  <si>
    <t>88.71M</t>
  </si>
  <si>
    <t>79.42M</t>
  </si>
  <si>
    <t>81.61M</t>
  </si>
  <si>
    <t>01/31/2022</t>
  </si>
  <si>
    <t>90.91M</t>
  </si>
  <si>
    <t>01/28/2022</t>
  </si>
  <si>
    <t>106.66M</t>
  </si>
  <si>
    <t>01/27/2022</t>
  </si>
  <si>
    <t>100.08M</t>
  </si>
  <si>
    <t>01/26/2022</t>
  </si>
  <si>
    <t>93.87M</t>
  </si>
  <si>
    <t>01/25/2022</t>
  </si>
  <si>
    <t>98.21M</t>
  </si>
  <si>
    <t>01/24/2022</t>
  </si>
  <si>
    <t>135.93M</t>
  </si>
  <si>
    <t>01/21/2022</t>
  </si>
  <si>
    <t>110.70M</t>
  </si>
  <si>
    <t>01/20/2022</t>
  </si>
  <si>
    <t>76.93M</t>
  </si>
  <si>
    <t>01/19/2022</t>
  </si>
  <si>
    <t>84.17M</t>
  </si>
  <si>
    <t>01/18/2022</t>
  </si>
  <si>
    <t>78.56M</t>
  </si>
  <si>
    <t>01/17/2022</t>
  </si>
  <si>
    <t>53.47M</t>
  </si>
  <si>
    <t>01/14/2022</t>
  </si>
  <si>
    <t>79.77M</t>
  </si>
  <si>
    <t>01/13/2022</t>
  </si>
  <si>
    <t>81.83M</t>
  </si>
  <si>
    <t>85.27M</t>
  </si>
  <si>
    <t>80.61M</t>
  </si>
  <si>
    <t>89.79M</t>
  </si>
  <si>
    <t>82.79M</t>
  </si>
  <si>
    <t>77.54M</t>
  </si>
  <si>
    <t>54.64M</t>
  </si>
  <si>
    <t>High-Low</t>
  </si>
  <si>
    <t>Maturite</t>
  </si>
  <si>
    <t>Coupon</t>
  </si>
  <si>
    <t>Paiement</t>
  </si>
  <si>
    <t>Actualisé</t>
  </si>
  <si>
    <t>Nomina</t>
  </si>
  <si>
    <t>A</t>
  </si>
  <si>
    <t>B</t>
  </si>
  <si>
    <t>C</t>
  </si>
  <si>
    <t>E</t>
  </si>
  <si>
    <t>Age</t>
  </si>
  <si>
    <t>Status</t>
  </si>
  <si>
    <t>Mineur</t>
  </si>
  <si>
    <t>é</t>
  </si>
  <si>
    <t>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</si>
</sst>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1" fillId="3" borderId="0" xfId="0" applyFont="1" applyFill="1" applyAlignment="1">
      <alignment horizontal="center"/>
    </xf>
    <xf numFmtId="0" fontId="0" fillId="0" borderId="1" xfId="0" applyBorder="1"/>
    <xf numFmtId="0" fontId="3" fillId="0" borderId="1" xfId="1" applyBorder="1"/>
    <xf numFmtId="0" fontId="0" fillId="0" borderId="1" xfId="0" applyBorder="1"/>
    <xf numFmtId="4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76200</xdr:rowOff>
        </xdr:from>
        <xdr:to>
          <xdr:col>8</xdr:col>
          <xdr:colOff>504825</xdr:colOff>
          <xdr:row>4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85725</xdr:rowOff>
        </xdr:from>
        <xdr:to>
          <xdr:col>12</xdr:col>
          <xdr:colOff>171450</xdr:colOff>
          <xdr:row>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Vali1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85725</xdr:rowOff>
        </xdr:from>
        <xdr:to>
          <xdr:col>13</xdr:col>
          <xdr:colOff>171450</xdr:colOff>
          <xdr:row>4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5F93CEB-7DEF-6FA8-F8CF-E0BA98348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Vali1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47625</xdr:rowOff>
        </xdr:from>
        <xdr:to>
          <xdr:col>7</xdr:col>
          <xdr:colOff>590550</xdr:colOff>
          <xdr:row>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8</xdr:row>
          <xdr:rowOff>76200</xdr:rowOff>
        </xdr:from>
        <xdr:to>
          <xdr:col>10</xdr:col>
          <xdr:colOff>285750</xdr:colOff>
          <xdr:row>9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4</xdr:row>
          <xdr:rowOff>152400</xdr:rowOff>
        </xdr:from>
        <xdr:to>
          <xdr:col>10</xdr:col>
          <xdr:colOff>457200</xdr:colOff>
          <xdr:row>6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mailto:bromasidibe@outlook.com" TargetMode="External"/><Relationship Id="rId1" Type="http://schemas.openxmlformats.org/officeDocument/2006/relationships/hyperlink" Target="mailto:hello@hello.com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3B86-A8D7-486D-B076-B3F4E756B564}">
  <sheetPr codeName="Sheet4"/>
  <dimension ref="A1:L19"/>
  <sheetViews>
    <sheetView workbookViewId="0">
      <selection activeCell="N5" sqref="N5:N7"/>
    </sheetView>
  </sheetViews>
  <sheetFormatPr defaultRowHeight="15" x14ac:dyDescent="0.25"/>
  <sheetData>
    <row r="1" spans="1:12" x14ac:dyDescent="0.25">
      <c r="A1" s="10"/>
      <c r="B1" s="10" t="s">
        <v>1199</v>
      </c>
    </row>
    <row r="2" spans="1:12" x14ac:dyDescent="0.25">
      <c r="A2" s="10" t="s">
        <v>1200</v>
      </c>
      <c r="B2" s="10" t="s">
        <v>1201</v>
      </c>
      <c r="G2" t="s">
        <v>1198</v>
      </c>
    </row>
    <row r="5" spans="1:12" x14ac:dyDescent="0.25">
      <c r="K5" t="s">
        <v>24</v>
      </c>
      <c r="L5">
        <v>18</v>
      </c>
    </row>
    <row r="6" spans="1:12" x14ac:dyDescent="0.25">
      <c r="K6" t="s">
        <v>1203</v>
      </c>
      <c r="L6" t="s">
        <v>25</v>
      </c>
    </row>
    <row r="7" spans="1:12" x14ac:dyDescent="0.25">
      <c r="E7" t="s">
        <v>1205</v>
      </c>
    </row>
    <row r="8" spans="1:12" x14ac:dyDescent="0.25">
      <c r="D8" t="s">
        <v>1202</v>
      </c>
      <c r="E8">
        <v>12</v>
      </c>
    </row>
    <row r="9" spans="1:12" x14ac:dyDescent="0.25">
      <c r="D9" t="s">
        <v>1203</v>
      </c>
      <c r="E9" t="s">
        <v>1206</v>
      </c>
    </row>
    <row r="19" spans="5:5" x14ac:dyDescent="0.25">
      <c r="E19" t="s">
        <v>1204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Mineur">
                <anchor moveWithCells="1" sizeWithCells="1">
                  <from>
                    <xdr:col>7</xdr:col>
                    <xdr:colOff>419100</xdr:colOff>
                    <xdr:row>2</xdr:row>
                    <xdr:rowOff>76200</xdr:rowOff>
                  </from>
                  <to>
                    <xdr:col>8</xdr:col>
                    <xdr:colOff>504825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F0855-D64E-4013-974B-8BF4F33B1FF3}">
  <sheetPr codeName="Sheet1"/>
  <dimension ref="A1:D20"/>
  <sheetViews>
    <sheetView workbookViewId="0">
      <selection activeCell="B20" sqref="B20"/>
    </sheetView>
  </sheetViews>
  <sheetFormatPr defaultRowHeight="15" x14ac:dyDescent="0.25"/>
  <sheetData>
    <row r="1" spans="1:4" x14ac:dyDescent="0.25">
      <c r="A1" t="s">
        <v>0</v>
      </c>
      <c r="B1">
        <v>100</v>
      </c>
    </row>
    <row r="2" spans="1:4" x14ac:dyDescent="0.25">
      <c r="A2" t="s">
        <v>1</v>
      </c>
      <c r="B2">
        <v>10</v>
      </c>
    </row>
    <row r="3" spans="1:4" x14ac:dyDescent="0.25">
      <c r="A3" t="s">
        <v>2</v>
      </c>
      <c r="B3">
        <v>0.05</v>
      </c>
    </row>
    <row r="4" spans="1:4" x14ac:dyDescent="0.25">
      <c r="A4" t="s">
        <v>3</v>
      </c>
      <c r="B4" cm="1">
        <f t="array" ref="B4">zerocoupon(B2,B1,B3)</f>
        <v>61.391325354075917</v>
      </c>
      <c r="D4">
        <f>LN(1)</f>
        <v>0</v>
      </c>
    </row>
    <row r="5" spans="1:4" x14ac:dyDescent="0.25">
      <c r="B5">
        <v>783.52616646845877</v>
      </c>
    </row>
    <row r="20" spans="2:2" x14ac:dyDescent="0.25">
      <c r="B20">
        <v>61.391325354075917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jouterFeuille">
                <anchor moveWithCells="1" sizeWithCells="1">
                  <from>
                    <xdr:col>8</xdr:col>
                    <xdr:colOff>409575</xdr:colOff>
                    <xdr:row>6</xdr:row>
                    <xdr:rowOff>85725</xdr:rowOff>
                  </from>
                  <to>
                    <xdr:col>12</xdr:col>
                    <xdr:colOff>171450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yValue">
                <anchor moveWithCells="1" sizeWithCells="1">
                  <from>
                    <xdr:col>9</xdr:col>
                    <xdr:colOff>409575</xdr:colOff>
                    <xdr:row>2</xdr:row>
                    <xdr:rowOff>85725</xdr:rowOff>
                  </from>
                  <to>
                    <xdr:col>13</xdr:col>
                    <xdr:colOff>171450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ireContenu">
                <anchor moveWithCells="1" sizeWithCells="1">
                  <from>
                    <xdr:col>6</xdr:col>
                    <xdr:colOff>38100</xdr:colOff>
                    <xdr:row>3</xdr:row>
                    <xdr:rowOff>47625</xdr:rowOff>
                  </from>
                  <to>
                    <xdr:col>7</xdr:col>
                    <xdr:colOff>590550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A922-9FF1-4E27-9EF5-E4C17372F029}">
  <sheetPr codeName="Sheet5"/>
  <dimension ref="A1:H10"/>
  <sheetViews>
    <sheetView workbookViewId="0">
      <selection activeCell="B7" sqref="B7"/>
    </sheetView>
  </sheetViews>
  <sheetFormatPr defaultRowHeight="15" x14ac:dyDescent="0.25"/>
  <sheetData>
    <row r="1" spans="1:8" x14ac:dyDescent="0.25">
      <c r="A1" t="s">
        <v>4</v>
      </c>
      <c r="B1" s="1" t="s">
        <v>11</v>
      </c>
      <c r="E1" t="s">
        <v>8</v>
      </c>
      <c r="F1">
        <v>5.6000000000000001E-2</v>
      </c>
    </row>
    <row r="2" spans="1:8" x14ac:dyDescent="0.25">
      <c r="A2" t="s">
        <v>5</v>
      </c>
      <c r="B2" s="1" t="s">
        <v>12</v>
      </c>
      <c r="E2" t="s">
        <v>9</v>
      </c>
      <c r="F2">
        <v>0.05</v>
      </c>
    </row>
    <row r="3" spans="1:8" x14ac:dyDescent="0.25">
      <c r="A3" t="s">
        <v>6</v>
      </c>
      <c r="B3" s="1">
        <v>20</v>
      </c>
      <c r="E3" t="s">
        <v>10</v>
      </c>
      <c r="F3" s="2" cm="1">
        <f t="array" ref="F3">tauxInteret(F1,F2)</f>
        <v>5.3000000000000005E-2</v>
      </c>
      <c r="H3">
        <f>F1</f>
        <v>5.6000000000000001E-2</v>
      </c>
    </row>
    <row r="7" spans="1:8" x14ac:dyDescent="0.25">
      <c r="A7" t="s">
        <v>1197</v>
      </c>
    </row>
    <row r="10" spans="1:8" x14ac:dyDescent="0.25">
      <c r="B10" cm="1">
        <f t="array" ref="B10">tauxInteret(4,5)</f>
        <v>4.5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8BB32-D422-4AC3-9A09-C8709E5AF333}">
  <sheetPr codeName="Sheet7"/>
  <dimension ref="A1"/>
  <sheetViews>
    <sheetView workbookViewId="0"/>
  </sheetViews>
  <sheetFormatPr defaultRowHeight="15" x14ac:dyDescent="0.25"/>
  <sheetData>
    <row r="1" spans="1:1" x14ac:dyDescent="0.25">
      <c r="A1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3372-3095-48C9-9395-49314D9F6701}">
  <sheetPr codeName="Sheet6"/>
  <dimension ref="A1:M9"/>
  <sheetViews>
    <sheetView topLeftCell="B19" workbookViewId="0">
      <selection activeCell="I5" sqref="I2:M5"/>
    </sheetView>
  </sheetViews>
  <sheetFormatPr defaultRowHeight="15" x14ac:dyDescent="0.25"/>
  <cols>
    <col min="8" max="8" width="19.5703125" customWidth="1"/>
    <col min="9" max="9" width="34" customWidth="1"/>
  </cols>
  <sheetData>
    <row r="1" spans="1:13" x14ac:dyDescent="0.25">
      <c r="A1" t="s">
        <v>14</v>
      </c>
      <c r="H1" s="3" t="s">
        <v>15</v>
      </c>
      <c r="I1" s="3"/>
      <c r="J1" s="3"/>
      <c r="K1" s="3"/>
      <c r="L1" s="3"/>
      <c r="M1" s="3"/>
    </row>
    <row r="2" spans="1:13" x14ac:dyDescent="0.25">
      <c r="H2" s="4" t="s">
        <v>16</v>
      </c>
      <c r="I2" s="5" t="s">
        <v>23</v>
      </c>
      <c r="J2" s="6"/>
      <c r="K2" s="6"/>
      <c r="L2" s="6"/>
      <c r="M2" s="6"/>
    </row>
    <row r="3" spans="1:13" x14ac:dyDescent="0.25">
      <c r="H3" s="4" t="s">
        <v>17</v>
      </c>
      <c r="I3" s="5" t="s">
        <v>18</v>
      </c>
      <c r="J3" s="6"/>
      <c r="K3" s="6"/>
      <c r="L3" s="6"/>
      <c r="M3" s="6"/>
    </row>
    <row r="4" spans="1:13" x14ac:dyDescent="0.25">
      <c r="H4" s="4" t="s">
        <v>19</v>
      </c>
      <c r="I4" s="6" t="s">
        <v>20</v>
      </c>
      <c r="J4" s="6"/>
      <c r="K4" s="6"/>
      <c r="L4" s="6"/>
      <c r="M4" s="6"/>
    </row>
    <row r="5" spans="1:13" x14ac:dyDescent="0.25">
      <c r="H5" s="4" t="s">
        <v>21</v>
      </c>
      <c r="I5" s="6" t="s">
        <v>22</v>
      </c>
      <c r="J5" s="6"/>
      <c r="K5" s="6"/>
      <c r="L5" s="6"/>
      <c r="M5" s="6"/>
    </row>
    <row r="8" spans="1:13" x14ac:dyDescent="0.25">
      <c r="D8" t="s">
        <v>24</v>
      </c>
      <c r="E8">
        <v>9</v>
      </c>
    </row>
    <row r="9" spans="1:13" x14ac:dyDescent="0.25">
      <c r="E9" t="s">
        <v>26</v>
      </c>
    </row>
  </sheetData>
  <mergeCells count="5">
    <mergeCell ref="H1:M1"/>
    <mergeCell ref="I2:M2"/>
    <mergeCell ref="I3:M3"/>
    <mergeCell ref="I4:M4"/>
    <mergeCell ref="I5:M5"/>
  </mergeCells>
  <hyperlinks>
    <hyperlink ref="I2" r:id="rId1" xr:uid="{DF467E44-D728-4AC1-95E8-68C2F8391B2E}"/>
    <hyperlink ref="I3" r:id="rId2" xr:uid="{B83E932C-F131-420D-BAA5-098F727CF769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466725</xdr:colOff>
                    <xdr:row>8</xdr:row>
                    <xdr:rowOff>76200</xdr:rowOff>
                  </from>
                  <to>
                    <xdr:col>10</xdr:col>
                    <xdr:colOff>285750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93707-0418-47DA-94B6-A0E83328703B}">
  <sheetPr codeName="Sheet8"/>
  <dimension ref="A1:H749"/>
  <sheetViews>
    <sheetView topLeftCell="A71" workbookViewId="0">
      <selection activeCell="H96" sqref="H96"/>
    </sheetView>
  </sheetViews>
  <sheetFormatPr defaultRowHeight="15" x14ac:dyDescent="0.25"/>
  <cols>
    <col min="1" max="7" width="13.28515625" customWidth="1"/>
    <col min="8" max="8" width="23" customWidth="1"/>
  </cols>
  <sheetData>
    <row r="1" spans="1:8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1192</v>
      </c>
    </row>
    <row r="2" spans="1:8" x14ac:dyDescent="0.25">
      <c r="A2" t="s">
        <v>34</v>
      </c>
      <c r="B2" s="7">
        <v>7235.11</v>
      </c>
      <c r="C2" s="7">
        <v>7151.3</v>
      </c>
      <c r="D2" s="7">
        <v>7241.07</v>
      </c>
      <c r="E2" s="7">
        <v>7147.74</v>
      </c>
      <c r="F2" t="s">
        <v>35</v>
      </c>
      <c r="G2" s="8">
        <v>7.7999999999999996E-3</v>
      </c>
      <c r="H2" s="7">
        <v>87.369999999999891</v>
      </c>
    </row>
    <row r="3" spans="1:8" x14ac:dyDescent="0.25">
      <c r="A3" t="s">
        <v>36</v>
      </c>
      <c r="B3" s="7">
        <v>7179.25</v>
      </c>
      <c r="C3" s="7">
        <v>7170.91</v>
      </c>
      <c r="D3" s="7">
        <v>7207.07</v>
      </c>
      <c r="E3" s="7">
        <v>7161.72</v>
      </c>
      <c r="F3" t="s">
        <v>37</v>
      </c>
      <c r="G3" s="8">
        <v>5.1000000000000004E-3</v>
      </c>
      <c r="H3">
        <v>17.529999999999745</v>
      </c>
    </row>
    <row r="4" spans="1:8" x14ac:dyDescent="0.25">
      <c r="A4" t="s">
        <v>38</v>
      </c>
      <c r="B4" s="7">
        <v>7143.03</v>
      </c>
      <c r="C4" s="7">
        <v>7150.02</v>
      </c>
      <c r="D4" s="7">
        <v>7156.42</v>
      </c>
      <c r="E4" s="7">
        <v>7091.15</v>
      </c>
      <c r="F4" t="s">
        <v>39</v>
      </c>
      <c r="G4" s="8">
        <v>-7.1999999999999998E-3</v>
      </c>
      <c r="H4">
        <v>51.880000000000109</v>
      </c>
    </row>
    <row r="5" spans="1:8" x14ac:dyDescent="0.25">
      <c r="A5" t="s">
        <v>40</v>
      </c>
      <c r="B5" s="7">
        <v>7194.51</v>
      </c>
      <c r="C5" s="7">
        <v>7201.65</v>
      </c>
      <c r="D5" s="7">
        <v>7256.78</v>
      </c>
      <c r="E5" s="7">
        <v>7185.49</v>
      </c>
      <c r="F5" t="s">
        <v>41</v>
      </c>
      <c r="G5" s="8">
        <v>-8.6999999999999994E-3</v>
      </c>
      <c r="H5">
        <v>9.0200000000004366</v>
      </c>
    </row>
    <row r="6" spans="1:8" x14ac:dyDescent="0.25">
      <c r="A6" t="s">
        <v>42</v>
      </c>
      <c r="B6" s="7">
        <v>7257.47</v>
      </c>
      <c r="C6" s="7">
        <v>7329.48</v>
      </c>
      <c r="D6" s="7">
        <v>7333.23</v>
      </c>
      <c r="E6" s="7">
        <v>7239.38</v>
      </c>
      <c r="F6" t="s">
        <v>43</v>
      </c>
      <c r="G6" s="8">
        <v>2.9999999999999997E-4</v>
      </c>
      <c r="H6">
        <v>18.090000000000146</v>
      </c>
    </row>
    <row r="7" spans="1:8" x14ac:dyDescent="0.25">
      <c r="A7" t="s">
        <v>44</v>
      </c>
      <c r="B7" s="7">
        <v>7255.01</v>
      </c>
      <c r="C7" s="7">
        <v>7250.64</v>
      </c>
      <c r="D7" s="7">
        <v>7271.06</v>
      </c>
      <c r="E7" s="7">
        <v>7156.23</v>
      </c>
      <c r="F7" t="s">
        <v>45</v>
      </c>
      <c r="G7" s="8">
        <v>5.7999999999999996E-3</v>
      </c>
      <c r="H7">
        <v>98.780000000000655</v>
      </c>
    </row>
    <row r="8" spans="1:8" x14ac:dyDescent="0.25">
      <c r="A8" t="s">
        <v>46</v>
      </c>
      <c r="B8" s="7">
        <v>7213.32</v>
      </c>
      <c r="C8" s="7">
        <v>7185.2</v>
      </c>
      <c r="D8" s="7">
        <v>7223.6</v>
      </c>
      <c r="E8" s="7">
        <v>7131.21</v>
      </c>
      <c r="F8" t="s">
        <v>47</v>
      </c>
      <c r="G8" s="8">
        <v>2.0999999999999999E-3</v>
      </c>
      <c r="H8">
        <v>82.109999999999673</v>
      </c>
    </row>
    <row r="9" spans="1:8" x14ac:dyDescent="0.25">
      <c r="A9" t="s">
        <v>48</v>
      </c>
      <c r="B9" s="7">
        <v>7198.45</v>
      </c>
      <c r="C9" s="7">
        <v>7272.73</v>
      </c>
      <c r="D9" s="7">
        <v>7280.39</v>
      </c>
      <c r="E9" s="7">
        <v>7188.42</v>
      </c>
      <c r="F9" t="s">
        <v>49</v>
      </c>
      <c r="G9" s="8">
        <v>-4.3E-3</v>
      </c>
      <c r="H9">
        <v>10.029999999999745</v>
      </c>
    </row>
    <row r="10" spans="1:8" x14ac:dyDescent="0.25">
      <c r="A10" t="s">
        <v>50</v>
      </c>
      <c r="B10" s="7">
        <v>7229.64</v>
      </c>
      <c r="C10" s="7">
        <v>7287.46</v>
      </c>
      <c r="D10" s="7">
        <v>7301.19</v>
      </c>
      <c r="E10" s="7">
        <v>7134.83</v>
      </c>
      <c r="F10" t="s">
        <v>51</v>
      </c>
      <c r="G10" s="8">
        <v>-6.7000000000000002E-3</v>
      </c>
      <c r="H10">
        <v>94.8100000000004</v>
      </c>
    </row>
    <row r="11" spans="1:8" x14ac:dyDescent="0.25">
      <c r="A11" t="s">
        <v>52</v>
      </c>
      <c r="B11" s="7">
        <v>7278.23</v>
      </c>
      <c r="C11" s="7">
        <v>7274.4</v>
      </c>
      <c r="D11" s="7">
        <v>7289.78</v>
      </c>
      <c r="E11" s="7">
        <v>7234.59</v>
      </c>
      <c r="F11" t="s">
        <v>53</v>
      </c>
      <c r="G11" s="8">
        <v>1.1999999999999999E-3</v>
      </c>
      <c r="H11">
        <v>43.639999999999418</v>
      </c>
    </row>
    <row r="12" spans="1:8" x14ac:dyDescent="0.25">
      <c r="A12" t="s">
        <v>54</v>
      </c>
      <c r="B12" s="7">
        <v>7269.63</v>
      </c>
      <c r="C12" s="7">
        <v>7256.58</v>
      </c>
      <c r="D12" s="7">
        <v>7319.53</v>
      </c>
      <c r="E12" s="7">
        <v>7236.48</v>
      </c>
      <c r="F12" t="s">
        <v>55</v>
      </c>
      <c r="G12" s="8">
        <v>-5.7999999999999996E-3</v>
      </c>
      <c r="H12">
        <v>33.150000000000546</v>
      </c>
    </row>
    <row r="13" spans="1:8" x14ac:dyDescent="0.25">
      <c r="A13" t="s">
        <v>56</v>
      </c>
      <c r="B13" s="7">
        <v>7311.8</v>
      </c>
      <c r="C13" s="7">
        <v>7247.92</v>
      </c>
      <c r="D13" s="7">
        <v>7319.09</v>
      </c>
      <c r="E13" s="7">
        <v>7220.05</v>
      </c>
      <c r="F13" t="s">
        <v>57</v>
      </c>
      <c r="G13" s="8">
        <v>1.32E-2</v>
      </c>
      <c r="H13">
        <v>91.75</v>
      </c>
    </row>
    <row r="14" spans="1:8" x14ac:dyDescent="0.25">
      <c r="A14" t="s">
        <v>58</v>
      </c>
      <c r="B14" s="7">
        <v>7216.83</v>
      </c>
      <c r="C14" s="7">
        <v>7217.49</v>
      </c>
      <c r="D14" s="7">
        <v>7256.47</v>
      </c>
      <c r="E14" s="7">
        <v>7158.25</v>
      </c>
      <c r="F14" t="s">
        <v>59</v>
      </c>
      <c r="G14" s="8">
        <v>-1.4E-3</v>
      </c>
      <c r="H14">
        <v>58.579999999999927</v>
      </c>
    </row>
    <row r="15" spans="1:8" x14ac:dyDescent="0.25">
      <c r="A15" s="9">
        <v>45637</v>
      </c>
      <c r="B15" s="7">
        <v>7226.98</v>
      </c>
      <c r="C15" s="7">
        <v>7346.72</v>
      </c>
      <c r="D15" s="7">
        <v>7365.28</v>
      </c>
      <c r="E15" s="7">
        <v>7217.78</v>
      </c>
      <c r="F15" t="s">
        <v>60</v>
      </c>
      <c r="G15" s="8">
        <v>-2.69E-2</v>
      </c>
      <c r="H15">
        <v>9.1999999999998181</v>
      </c>
    </row>
    <row r="16" spans="1:8" x14ac:dyDescent="0.25">
      <c r="A16" s="9">
        <v>45607</v>
      </c>
      <c r="B16" s="7">
        <v>7426.88</v>
      </c>
      <c r="C16" s="7">
        <v>7395.09</v>
      </c>
      <c r="D16" s="7">
        <v>7452.6</v>
      </c>
      <c r="E16" s="7">
        <v>7387.52</v>
      </c>
      <c r="F16" t="s">
        <v>61</v>
      </c>
      <c r="G16" s="8">
        <v>1.2E-2</v>
      </c>
      <c r="H16">
        <v>39.359999999999673</v>
      </c>
    </row>
    <row r="17" spans="1:8" x14ac:dyDescent="0.25">
      <c r="A17" s="9">
        <v>45515</v>
      </c>
      <c r="B17" s="7">
        <v>7338.67</v>
      </c>
      <c r="C17" s="7">
        <v>7440.12</v>
      </c>
      <c r="D17" s="7">
        <v>7440.95</v>
      </c>
      <c r="E17" s="7">
        <v>7330.21</v>
      </c>
      <c r="F17" t="s">
        <v>62</v>
      </c>
      <c r="G17" s="8">
        <v>-1.17E-2</v>
      </c>
      <c r="H17">
        <v>8.4600000000000364</v>
      </c>
    </row>
    <row r="18" spans="1:8" x14ac:dyDescent="0.25">
      <c r="A18" s="9">
        <v>45484</v>
      </c>
      <c r="B18" s="7">
        <v>7425.6</v>
      </c>
      <c r="C18" s="7">
        <v>7373.19</v>
      </c>
      <c r="D18" s="7">
        <v>7450</v>
      </c>
      <c r="E18" s="7">
        <v>7354.28</v>
      </c>
      <c r="F18" t="s">
        <v>63</v>
      </c>
      <c r="G18" s="8">
        <v>7.6E-3</v>
      </c>
      <c r="H18">
        <v>71.320000000000618</v>
      </c>
    </row>
    <row r="19" spans="1:8" x14ac:dyDescent="0.25">
      <c r="A19" s="9">
        <v>45454</v>
      </c>
      <c r="B19" s="7">
        <v>7369.61</v>
      </c>
      <c r="C19" s="7">
        <v>7444.37</v>
      </c>
      <c r="D19" s="7">
        <v>7572.14</v>
      </c>
      <c r="E19" s="7">
        <v>7338.35</v>
      </c>
      <c r="F19" t="s">
        <v>64</v>
      </c>
      <c r="G19" s="8">
        <v>-5.1000000000000004E-3</v>
      </c>
      <c r="H19">
        <v>31.259999999999309</v>
      </c>
    </row>
    <row r="20" spans="1:8" x14ac:dyDescent="0.25">
      <c r="A20" s="9">
        <v>45423</v>
      </c>
      <c r="B20" s="7">
        <v>7407.15</v>
      </c>
      <c r="C20" s="7">
        <v>7377.58</v>
      </c>
      <c r="D20" s="7">
        <v>7414.82</v>
      </c>
      <c r="E20" s="7">
        <v>7350</v>
      </c>
      <c r="F20" t="s">
        <v>65</v>
      </c>
      <c r="G20" s="8">
        <v>4.7999999999999996E-3</v>
      </c>
      <c r="H20">
        <v>57.149999999999636</v>
      </c>
    </row>
    <row r="21" spans="1:8" x14ac:dyDescent="0.25">
      <c r="A21" s="9">
        <v>45393</v>
      </c>
      <c r="B21" s="7">
        <v>7371.71</v>
      </c>
      <c r="C21" s="7">
        <v>7386.32</v>
      </c>
      <c r="D21" s="7">
        <v>7445.96</v>
      </c>
      <c r="E21" s="7">
        <v>7371.71</v>
      </c>
      <c r="F21" t="s">
        <v>66</v>
      </c>
      <c r="G21" s="8">
        <v>-5.0000000000000001E-3</v>
      </c>
      <c r="H21">
        <v>0</v>
      </c>
    </row>
    <row r="22" spans="1:8" x14ac:dyDescent="0.25">
      <c r="A22" s="9">
        <v>45302</v>
      </c>
      <c r="B22" s="7">
        <v>7409.11</v>
      </c>
      <c r="C22" s="7">
        <v>7364.08</v>
      </c>
      <c r="D22" s="7">
        <v>7434.26</v>
      </c>
      <c r="E22" s="7">
        <v>7358.2</v>
      </c>
      <c r="F22" t="s">
        <v>67</v>
      </c>
      <c r="G22" s="8">
        <v>8.0000000000000002E-3</v>
      </c>
      <c r="H22">
        <v>50.909999999999854</v>
      </c>
    </row>
    <row r="23" spans="1:8" x14ac:dyDescent="0.25">
      <c r="A23" t="s">
        <v>68</v>
      </c>
      <c r="B23" s="7">
        <v>7350.37</v>
      </c>
      <c r="C23" s="7">
        <v>7384.1</v>
      </c>
      <c r="D23" s="7">
        <v>7393.25</v>
      </c>
      <c r="E23" s="7">
        <v>7315.97</v>
      </c>
      <c r="F23" t="s">
        <v>69</v>
      </c>
      <c r="G23" s="8">
        <v>-1.0500000000000001E-2</v>
      </c>
      <c r="H23">
        <v>34.399999999999636</v>
      </c>
    </row>
    <row r="24" spans="1:8" x14ac:dyDescent="0.25">
      <c r="A24" t="s">
        <v>70</v>
      </c>
      <c r="B24" s="7">
        <v>7428.36</v>
      </c>
      <c r="C24" s="7">
        <v>7452.1</v>
      </c>
      <c r="D24" s="7">
        <v>7470.69</v>
      </c>
      <c r="E24" s="7">
        <v>7377.39</v>
      </c>
      <c r="F24" t="s">
        <v>71</v>
      </c>
      <c r="G24" s="8">
        <v>-1.0999999999999999E-2</v>
      </c>
      <c r="H24">
        <v>50.969999999999345</v>
      </c>
    </row>
    <row r="25" spans="1:8" x14ac:dyDescent="0.25">
      <c r="A25" t="s">
        <v>72</v>
      </c>
      <c r="B25" s="7">
        <v>7511.11</v>
      </c>
      <c r="C25" s="7">
        <v>7593.86</v>
      </c>
      <c r="D25" s="7">
        <v>7618.32</v>
      </c>
      <c r="E25" s="7">
        <v>7506.52</v>
      </c>
      <c r="F25" t="s">
        <v>73</v>
      </c>
      <c r="G25" s="8">
        <v>-6.1000000000000004E-3</v>
      </c>
      <c r="H25">
        <v>4.589999999999236</v>
      </c>
    </row>
    <row r="26" spans="1:8" x14ac:dyDescent="0.25">
      <c r="A26" t="s">
        <v>74</v>
      </c>
      <c r="B26" s="7">
        <v>7556.94</v>
      </c>
      <c r="C26" s="7">
        <v>7542.13</v>
      </c>
      <c r="D26" s="7">
        <v>7580.68</v>
      </c>
      <c r="E26" s="7">
        <v>7494.93</v>
      </c>
      <c r="F26" t="s">
        <v>75</v>
      </c>
      <c r="G26" s="8">
        <v>7.9000000000000008E-3</v>
      </c>
      <c r="H26">
        <v>62.009999999999309</v>
      </c>
    </row>
    <row r="27" spans="1:8" x14ac:dyDescent="0.25">
      <c r="A27" t="s">
        <v>76</v>
      </c>
      <c r="B27" s="7">
        <v>7497.54</v>
      </c>
      <c r="C27" s="7">
        <v>7489.87</v>
      </c>
      <c r="D27" s="7">
        <v>7518.75</v>
      </c>
      <c r="E27" s="7">
        <v>7459.41</v>
      </c>
      <c r="F27" t="s">
        <v>77</v>
      </c>
      <c r="G27" s="8">
        <v>-8.0000000000000004E-4</v>
      </c>
      <c r="H27">
        <v>38.130000000000109</v>
      </c>
    </row>
    <row r="28" spans="1:8" x14ac:dyDescent="0.25">
      <c r="A28" t="s">
        <v>78</v>
      </c>
      <c r="B28" s="7">
        <v>7503.28</v>
      </c>
      <c r="C28" s="7">
        <v>7527.64</v>
      </c>
      <c r="D28" s="7">
        <v>7565.39</v>
      </c>
      <c r="E28" s="7">
        <v>7503.02</v>
      </c>
      <c r="F28" t="s">
        <v>79</v>
      </c>
      <c r="G28" s="8">
        <v>8.0000000000000004E-4</v>
      </c>
      <c r="H28">
        <v>0.25999999999930878</v>
      </c>
    </row>
    <row r="29" spans="1:8" x14ac:dyDescent="0.25">
      <c r="A29" t="s">
        <v>80</v>
      </c>
      <c r="B29" s="7">
        <v>7497.48</v>
      </c>
      <c r="C29" s="7">
        <v>7493.25</v>
      </c>
      <c r="D29" s="7">
        <v>7544.7</v>
      </c>
      <c r="E29" s="7">
        <v>7468.58</v>
      </c>
      <c r="F29" t="s">
        <v>81</v>
      </c>
      <c r="G29" s="8">
        <v>-5.0000000000000001E-3</v>
      </c>
      <c r="H29">
        <v>28.899999999999636</v>
      </c>
    </row>
    <row r="30" spans="1:8" x14ac:dyDescent="0.25">
      <c r="A30" t="s">
        <v>82</v>
      </c>
      <c r="B30" s="7">
        <v>7535.1</v>
      </c>
      <c r="C30" s="7">
        <v>7517.03</v>
      </c>
      <c r="D30" s="7">
        <v>7545.36</v>
      </c>
      <c r="E30" s="7">
        <v>7472.16</v>
      </c>
      <c r="F30" t="s">
        <v>83</v>
      </c>
      <c r="G30" s="8">
        <v>-1E-4</v>
      </c>
      <c r="H30">
        <v>62.940000000000509</v>
      </c>
    </row>
    <row r="31" spans="1:8" x14ac:dyDescent="0.25">
      <c r="A31" t="s">
        <v>84</v>
      </c>
      <c r="B31" s="7">
        <v>7536.23</v>
      </c>
      <c r="C31" s="7">
        <v>7579.08</v>
      </c>
      <c r="D31" s="7">
        <v>7620.46</v>
      </c>
      <c r="E31" s="7">
        <v>7529.68</v>
      </c>
      <c r="F31" t="s">
        <v>85</v>
      </c>
      <c r="G31" s="8">
        <v>-1.01E-2</v>
      </c>
      <c r="H31">
        <v>6.5499999999992724</v>
      </c>
    </row>
    <row r="32" spans="1:8" x14ac:dyDescent="0.25">
      <c r="A32" t="s">
        <v>86</v>
      </c>
      <c r="B32" s="7">
        <v>7613.05</v>
      </c>
      <c r="C32" s="7">
        <v>7566.87</v>
      </c>
      <c r="D32" s="7">
        <v>7644.05</v>
      </c>
      <c r="E32" s="7">
        <v>7566.87</v>
      </c>
      <c r="F32" t="s">
        <v>87</v>
      </c>
      <c r="G32" s="8">
        <v>3.8999999999999998E-3</v>
      </c>
      <c r="H32">
        <v>46.180000000000291</v>
      </c>
    </row>
    <row r="33" spans="1:8" x14ac:dyDescent="0.25">
      <c r="A33" t="s">
        <v>88</v>
      </c>
      <c r="B33" s="7">
        <v>7583.73</v>
      </c>
      <c r="C33" s="7">
        <v>7510.13</v>
      </c>
      <c r="D33" s="7">
        <v>7624.22</v>
      </c>
      <c r="E33" s="7">
        <v>7507.95</v>
      </c>
      <c r="F33" t="s">
        <v>89</v>
      </c>
      <c r="G33" s="8">
        <v>1.2200000000000001E-2</v>
      </c>
      <c r="H33">
        <v>75.779999999999745</v>
      </c>
    </row>
    <row r="34" spans="1:8" x14ac:dyDescent="0.25">
      <c r="A34" t="s">
        <v>90</v>
      </c>
      <c r="B34" s="7">
        <v>7492</v>
      </c>
      <c r="C34" s="7">
        <v>7420.85</v>
      </c>
      <c r="D34" s="7">
        <v>7511.1</v>
      </c>
      <c r="E34" s="7">
        <v>7420.85</v>
      </c>
      <c r="F34" t="s">
        <v>91</v>
      </c>
      <c r="G34" s="8">
        <v>-4.0000000000000001E-3</v>
      </c>
      <c r="H34">
        <v>71.149999999999636</v>
      </c>
    </row>
    <row r="35" spans="1:8" x14ac:dyDescent="0.25">
      <c r="A35" t="s">
        <v>92</v>
      </c>
      <c r="B35" s="7">
        <v>7521.97</v>
      </c>
      <c r="C35" s="7">
        <v>7595.06</v>
      </c>
      <c r="D35" s="7">
        <v>7601.53</v>
      </c>
      <c r="E35" s="7">
        <v>7511.24</v>
      </c>
      <c r="F35" t="s">
        <v>93</v>
      </c>
      <c r="G35" s="8">
        <v>-1.0500000000000001E-2</v>
      </c>
      <c r="H35">
        <v>10.730000000000473</v>
      </c>
    </row>
    <row r="36" spans="1:8" x14ac:dyDescent="0.25">
      <c r="A36" t="s">
        <v>94</v>
      </c>
      <c r="B36" s="7">
        <v>7602.06</v>
      </c>
      <c r="C36" s="7">
        <v>7583.48</v>
      </c>
      <c r="D36" s="7">
        <v>7613.15</v>
      </c>
      <c r="E36" s="7">
        <v>7544.54</v>
      </c>
      <c r="F36" t="s">
        <v>95</v>
      </c>
      <c r="G36" s="8">
        <v>3.2000000000000002E-3</v>
      </c>
      <c r="H36">
        <v>57.520000000000437</v>
      </c>
    </row>
    <row r="37" spans="1:8" x14ac:dyDescent="0.25">
      <c r="A37" s="9">
        <v>45606</v>
      </c>
      <c r="B37" s="7">
        <v>7577.89</v>
      </c>
      <c r="C37" s="7">
        <v>7530.88</v>
      </c>
      <c r="D37" s="7">
        <v>7587.52</v>
      </c>
      <c r="E37" s="7">
        <v>7504.04</v>
      </c>
      <c r="F37" t="s">
        <v>96</v>
      </c>
      <c r="G37" s="8">
        <v>4.7999999999999996E-3</v>
      </c>
      <c r="H37">
        <v>73.850000000000364</v>
      </c>
    </row>
    <row r="38" spans="1:8" x14ac:dyDescent="0.25">
      <c r="A38" s="9">
        <v>45575</v>
      </c>
      <c r="B38" s="7">
        <v>7541.59</v>
      </c>
      <c r="C38" s="7">
        <v>7543.4</v>
      </c>
      <c r="D38" s="7">
        <v>7563.36</v>
      </c>
      <c r="E38" s="7">
        <v>7515.9</v>
      </c>
      <c r="F38" t="s">
        <v>97</v>
      </c>
      <c r="G38" s="8">
        <v>-2.3999999999999998E-3</v>
      </c>
      <c r="H38">
        <v>25.690000000000509</v>
      </c>
    </row>
    <row r="39" spans="1:8" x14ac:dyDescent="0.25">
      <c r="A39" s="9">
        <v>45545</v>
      </c>
      <c r="B39" s="7">
        <v>7560.09</v>
      </c>
      <c r="C39" s="7">
        <v>7527.03</v>
      </c>
      <c r="D39" s="7">
        <v>7567.58</v>
      </c>
      <c r="E39" s="7">
        <v>7504.63</v>
      </c>
      <c r="F39" t="s">
        <v>98</v>
      </c>
      <c r="G39" s="8">
        <v>5.1999999999999998E-3</v>
      </c>
      <c r="H39">
        <v>55.460000000000036</v>
      </c>
    </row>
    <row r="40" spans="1:8" x14ac:dyDescent="0.25">
      <c r="A40" s="9">
        <v>45514</v>
      </c>
      <c r="B40" s="7">
        <v>7521.32</v>
      </c>
      <c r="C40" s="7">
        <v>7480.36</v>
      </c>
      <c r="D40" s="7">
        <v>7542.05</v>
      </c>
      <c r="E40" s="7">
        <v>7475.78</v>
      </c>
      <c r="F40" t="s">
        <v>99</v>
      </c>
      <c r="G40" s="8">
        <v>-7.1999999999999998E-3</v>
      </c>
      <c r="H40">
        <v>45.539999999999964</v>
      </c>
    </row>
    <row r="41" spans="1:8" x14ac:dyDescent="0.25">
      <c r="A41" s="9">
        <v>45483</v>
      </c>
      <c r="B41" s="7">
        <v>7576.02</v>
      </c>
      <c r="C41" s="7">
        <v>7571.97</v>
      </c>
      <c r="D41" s="7">
        <v>7585.33</v>
      </c>
      <c r="E41" s="7">
        <v>7509.87</v>
      </c>
      <c r="F41" t="s">
        <v>100</v>
      </c>
      <c r="G41" s="8">
        <v>4.5999999999999999E-3</v>
      </c>
      <c r="H41">
        <v>66.150000000000546</v>
      </c>
    </row>
    <row r="42" spans="1:8" x14ac:dyDescent="0.25">
      <c r="A42" s="9">
        <v>45392</v>
      </c>
      <c r="B42" s="7">
        <v>7541.36</v>
      </c>
      <c r="C42" s="7">
        <v>7464.87</v>
      </c>
      <c r="D42" s="7">
        <v>7571.76</v>
      </c>
      <c r="E42" s="7">
        <v>7460.29</v>
      </c>
      <c r="F42" t="s">
        <v>101</v>
      </c>
      <c r="G42" s="8">
        <v>8.5000000000000006E-3</v>
      </c>
      <c r="H42">
        <v>81.069999999999709</v>
      </c>
    </row>
    <row r="43" spans="1:8" x14ac:dyDescent="0.25">
      <c r="A43" s="9">
        <v>45361</v>
      </c>
      <c r="B43" s="7">
        <v>7477.78</v>
      </c>
      <c r="C43" s="7">
        <v>7555.23</v>
      </c>
      <c r="D43" s="7">
        <v>7555.24</v>
      </c>
      <c r="E43" s="7">
        <v>7458.49</v>
      </c>
      <c r="F43" t="s">
        <v>102</v>
      </c>
      <c r="G43" s="8">
        <v>-1.32E-2</v>
      </c>
      <c r="H43">
        <v>19.289999999999964</v>
      </c>
    </row>
    <row r="44" spans="1:8" x14ac:dyDescent="0.25">
      <c r="A44" s="9">
        <v>45332</v>
      </c>
      <c r="B44" s="7">
        <v>7577.59</v>
      </c>
      <c r="C44" s="7">
        <v>7594.81</v>
      </c>
      <c r="D44" s="7">
        <v>7623.32</v>
      </c>
      <c r="E44" s="7">
        <v>7548.98</v>
      </c>
      <c r="F44" t="s">
        <v>103</v>
      </c>
      <c r="G44" s="8">
        <v>5.0000000000000001E-4</v>
      </c>
      <c r="H44">
        <v>28.610000000000582</v>
      </c>
    </row>
    <row r="45" spans="1:8" x14ac:dyDescent="0.25">
      <c r="A45" s="9">
        <v>45301</v>
      </c>
      <c r="B45" s="7">
        <v>7574.07</v>
      </c>
      <c r="C45" s="7">
        <v>7623.33</v>
      </c>
      <c r="D45" s="7">
        <v>7654.58</v>
      </c>
      <c r="E45" s="7">
        <v>7547.12</v>
      </c>
      <c r="F45" t="s">
        <v>104</v>
      </c>
      <c r="G45" s="8">
        <v>-8.0999999999999996E-3</v>
      </c>
      <c r="H45">
        <v>26.949999999999818</v>
      </c>
    </row>
    <row r="46" spans="1:8" x14ac:dyDescent="0.25">
      <c r="A46" t="s">
        <v>105</v>
      </c>
      <c r="B46" s="7">
        <v>7635.75</v>
      </c>
      <c r="C46" s="7">
        <v>7748.07</v>
      </c>
      <c r="D46" s="7">
        <v>7763.89</v>
      </c>
      <c r="E46" s="7">
        <v>7634.82</v>
      </c>
      <c r="F46" t="s">
        <v>106</v>
      </c>
      <c r="G46" s="8">
        <v>-0.02</v>
      </c>
      <c r="H46">
        <v>0.93000000000029104</v>
      </c>
    </row>
    <row r="47" spans="1:8" x14ac:dyDescent="0.25">
      <c r="A47" t="s">
        <v>107</v>
      </c>
      <c r="B47" s="7">
        <v>7791.79</v>
      </c>
      <c r="C47" s="7">
        <v>7762.45</v>
      </c>
      <c r="D47" s="7">
        <v>7804.64</v>
      </c>
      <c r="E47" s="7">
        <v>7743.88</v>
      </c>
      <c r="F47" t="s">
        <v>108</v>
      </c>
      <c r="G47" s="8">
        <v>6.4000000000000003E-3</v>
      </c>
      <c r="H47">
        <v>47.909999999999854</v>
      </c>
    </row>
    <row r="48" spans="1:8" x14ac:dyDescent="0.25">
      <c r="A48" t="s">
        <v>109</v>
      </c>
      <c r="B48" s="7">
        <v>7742.09</v>
      </c>
      <c r="C48" s="7">
        <v>7663.03</v>
      </c>
      <c r="D48" s="7">
        <v>7742.09</v>
      </c>
      <c r="E48" s="7">
        <v>7652.61</v>
      </c>
      <c r="F48" t="s">
        <v>110</v>
      </c>
      <c r="G48" s="8">
        <v>2.3300000000000001E-2</v>
      </c>
      <c r="H48">
        <v>89.480000000000473</v>
      </c>
    </row>
    <row r="49" spans="1:8" x14ac:dyDescent="0.25">
      <c r="A49" t="s">
        <v>111</v>
      </c>
      <c r="B49" s="7">
        <v>7565.62</v>
      </c>
      <c r="C49" s="7">
        <v>7549.26</v>
      </c>
      <c r="D49" s="7">
        <v>7595.77</v>
      </c>
      <c r="E49" s="7">
        <v>7546.86</v>
      </c>
      <c r="F49" t="s">
        <v>112</v>
      </c>
      <c r="G49" s="8">
        <v>-5.0000000000000001E-3</v>
      </c>
      <c r="H49">
        <v>18.760000000000218</v>
      </c>
    </row>
    <row r="50" spans="1:8" x14ac:dyDescent="0.25">
      <c r="A50" t="s">
        <v>113</v>
      </c>
      <c r="B50" s="7">
        <v>7604.01</v>
      </c>
      <c r="C50" s="7">
        <v>7608.47</v>
      </c>
      <c r="D50" s="7">
        <v>7634.23</v>
      </c>
      <c r="E50" s="7">
        <v>7575.36</v>
      </c>
      <c r="F50" t="s">
        <v>114</v>
      </c>
      <c r="G50" s="8">
        <v>1.2800000000000001E-2</v>
      </c>
      <c r="H50">
        <v>28.650000000000546</v>
      </c>
    </row>
    <row r="51" spans="1:8" x14ac:dyDescent="0.25">
      <c r="A51" t="s">
        <v>115</v>
      </c>
      <c r="B51" s="7">
        <v>7508.08</v>
      </c>
      <c r="C51" s="7">
        <v>7499.92</v>
      </c>
      <c r="D51" s="7">
        <v>7518.77</v>
      </c>
      <c r="E51" s="7">
        <v>7456.44</v>
      </c>
      <c r="F51" t="s">
        <v>116</v>
      </c>
      <c r="G51" s="8">
        <v>1E-3</v>
      </c>
      <c r="H51">
        <v>51.640000000000327</v>
      </c>
    </row>
    <row r="52" spans="1:8" x14ac:dyDescent="0.25">
      <c r="A52" t="s">
        <v>117</v>
      </c>
      <c r="B52" s="7">
        <v>7500.26</v>
      </c>
      <c r="C52" s="7">
        <v>7597.52</v>
      </c>
      <c r="D52" s="7">
        <v>7603.2</v>
      </c>
      <c r="E52" s="7">
        <v>7500.26</v>
      </c>
      <c r="F52" t="s">
        <v>118</v>
      </c>
      <c r="G52" s="8">
        <v>-1.5100000000000001E-2</v>
      </c>
      <c r="H52">
        <v>0</v>
      </c>
    </row>
    <row r="53" spans="1:8" x14ac:dyDescent="0.25">
      <c r="A53" t="s">
        <v>119</v>
      </c>
      <c r="B53" s="7">
        <v>7615.41</v>
      </c>
      <c r="C53" s="7">
        <v>7557.04</v>
      </c>
      <c r="D53" s="7">
        <v>7615.41</v>
      </c>
      <c r="E53" s="7">
        <v>7520.08</v>
      </c>
      <c r="F53" t="s">
        <v>120</v>
      </c>
      <c r="G53" s="8">
        <v>2.29E-2</v>
      </c>
      <c r="H53">
        <v>95.329999999999927</v>
      </c>
    </row>
    <row r="54" spans="1:8" x14ac:dyDescent="0.25">
      <c r="A54" t="s">
        <v>121</v>
      </c>
      <c r="B54" s="7">
        <v>7444.9</v>
      </c>
      <c r="C54" s="7">
        <v>7489.85</v>
      </c>
      <c r="D54" s="7">
        <v>7495.31</v>
      </c>
      <c r="E54" s="7">
        <v>7444.18</v>
      </c>
      <c r="F54" t="s">
        <v>122</v>
      </c>
      <c r="G54" s="8">
        <v>-5.7000000000000002E-3</v>
      </c>
      <c r="H54">
        <v>0.71999999999934516</v>
      </c>
    </row>
    <row r="55" spans="1:8" x14ac:dyDescent="0.25">
      <c r="A55" t="s">
        <v>123</v>
      </c>
      <c r="B55" s="7">
        <v>7487.42</v>
      </c>
      <c r="C55" s="7">
        <v>7485.14</v>
      </c>
      <c r="D55" s="7">
        <v>7523.87</v>
      </c>
      <c r="E55" s="7">
        <v>7473.9</v>
      </c>
      <c r="F55" t="s">
        <v>124</v>
      </c>
      <c r="G55" s="8">
        <v>5.1000000000000004E-3</v>
      </c>
      <c r="H55">
        <v>13.520000000000437</v>
      </c>
    </row>
    <row r="56" spans="1:8" x14ac:dyDescent="0.25">
      <c r="A56" t="s">
        <v>125</v>
      </c>
      <c r="B56" s="7">
        <v>7449.44</v>
      </c>
      <c r="C56" s="7">
        <v>7432.17</v>
      </c>
      <c r="D56" s="7">
        <v>7480.6</v>
      </c>
      <c r="E56" s="7">
        <v>7430.06</v>
      </c>
      <c r="F56" t="s">
        <v>126</v>
      </c>
      <c r="G56" s="8">
        <v>-2.0999999999999999E-3</v>
      </c>
      <c r="H56">
        <v>19.3799999999992</v>
      </c>
    </row>
    <row r="57" spans="1:8" x14ac:dyDescent="0.25">
      <c r="A57" t="s">
        <v>127</v>
      </c>
      <c r="B57" s="7">
        <v>7465.25</v>
      </c>
      <c r="C57" s="7">
        <v>7441.56</v>
      </c>
      <c r="D57" s="7">
        <v>7490.84</v>
      </c>
      <c r="E57" s="7">
        <v>7438.65</v>
      </c>
      <c r="F57" t="s">
        <v>128</v>
      </c>
      <c r="G57" s="8">
        <v>4.1000000000000003E-3</v>
      </c>
      <c r="H57">
        <v>26.600000000000364</v>
      </c>
    </row>
    <row r="58" spans="1:8" x14ac:dyDescent="0.25">
      <c r="A58" s="9">
        <v>45635</v>
      </c>
      <c r="B58" s="7">
        <v>7435.07</v>
      </c>
      <c r="C58" s="7">
        <v>7478.91</v>
      </c>
      <c r="D58" s="7">
        <v>7484.16</v>
      </c>
      <c r="E58" s="7">
        <v>7391.54</v>
      </c>
      <c r="F58" t="s">
        <v>129</v>
      </c>
      <c r="G58" s="8">
        <v>5.1999999999999998E-3</v>
      </c>
      <c r="H58">
        <v>43.529999999999745</v>
      </c>
    </row>
    <row r="59" spans="1:8" x14ac:dyDescent="0.25">
      <c r="A59" s="9">
        <v>45605</v>
      </c>
      <c r="B59" s="7">
        <v>7396.83</v>
      </c>
      <c r="C59" s="7">
        <v>7419.04</v>
      </c>
      <c r="D59" s="7">
        <v>7452.68</v>
      </c>
      <c r="E59" s="7">
        <v>7363.31</v>
      </c>
      <c r="F59" t="s">
        <v>130</v>
      </c>
      <c r="G59" s="8">
        <v>-1.4E-3</v>
      </c>
      <c r="H59">
        <v>33.519999999999527</v>
      </c>
    </row>
    <row r="60" spans="1:8" x14ac:dyDescent="0.25">
      <c r="A60" s="9">
        <v>45574</v>
      </c>
      <c r="B60" s="7">
        <v>7407.55</v>
      </c>
      <c r="C60" s="7">
        <v>7414.4</v>
      </c>
      <c r="D60" s="7">
        <v>7476.54</v>
      </c>
      <c r="E60" s="7">
        <v>7386.53</v>
      </c>
      <c r="F60" t="s">
        <v>131</v>
      </c>
      <c r="G60" s="8">
        <v>-2.3999999999999998E-3</v>
      </c>
      <c r="H60">
        <v>21.020000000000437</v>
      </c>
    </row>
    <row r="61" spans="1:8" x14ac:dyDescent="0.25">
      <c r="A61" s="9">
        <v>45544</v>
      </c>
      <c r="B61" s="7">
        <v>7425.26</v>
      </c>
      <c r="C61" s="7">
        <v>7376.72</v>
      </c>
      <c r="D61" s="7">
        <v>7445.05</v>
      </c>
      <c r="E61" s="7">
        <v>7369.9</v>
      </c>
      <c r="F61" t="s">
        <v>132</v>
      </c>
      <c r="G61" s="8">
        <v>9.9000000000000008E-3</v>
      </c>
      <c r="H61">
        <v>55.360000000000582</v>
      </c>
    </row>
    <row r="62" spans="1:8" x14ac:dyDescent="0.25">
      <c r="A62" s="9">
        <v>45452</v>
      </c>
      <c r="B62" s="7">
        <v>7352.3</v>
      </c>
      <c r="C62" s="7">
        <v>7424.09</v>
      </c>
      <c r="D62" s="7">
        <v>7466.14</v>
      </c>
      <c r="E62" s="7">
        <v>7341.93</v>
      </c>
      <c r="F62" t="s">
        <v>133</v>
      </c>
      <c r="G62" s="8">
        <v>-1.0699999999999999E-2</v>
      </c>
      <c r="H62">
        <v>10.369999999999891</v>
      </c>
    </row>
    <row r="63" spans="1:8" x14ac:dyDescent="0.25">
      <c r="A63" s="9">
        <v>45421</v>
      </c>
      <c r="B63" s="7">
        <v>7431.96</v>
      </c>
      <c r="C63" s="7">
        <v>7464.28</v>
      </c>
      <c r="D63" s="7">
        <v>7498.08</v>
      </c>
      <c r="E63" s="7">
        <v>7431.96</v>
      </c>
      <c r="F63" t="s">
        <v>134</v>
      </c>
      <c r="G63" s="8">
        <v>-9.1999999999999998E-3</v>
      </c>
      <c r="H63">
        <v>0</v>
      </c>
    </row>
    <row r="64" spans="1:8" x14ac:dyDescent="0.25">
      <c r="A64" s="9">
        <v>45391</v>
      </c>
      <c r="B64" s="7">
        <v>7500.97</v>
      </c>
      <c r="C64" s="7">
        <v>7490.1</v>
      </c>
      <c r="D64" s="7">
        <v>7530.83</v>
      </c>
      <c r="E64" s="7">
        <v>7482.4</v>
      </c>
      <c r="F64" t="s">
        <v>135</v>
      </c>
      <c r="G64" s="8">
        <v>-9.7999999999999997E-3</v>
      </c>
      <c r="H64">
        <v>18.570000000000618</v>
      </c>
    </row>
    <row r="65" spans="1:8" x14ac:dyDescent="0.25">
      <c r="A65" s="9">
        <v>45360</v>
      </c>
      <c r="B65" s="7">
        <v>7575.1</v>
      </c>
      <c r="C65" s="7">
        <v>7659.81</v>
      </c>
      <c r="D65" s="7">
        <v>7671.53</v>
      </c>
      <c r="E65" s="7">
        <v>7564.99</v>
      </c>
      <c r="F65" t="s">
        <v>136</v>
      </c>
      <c r="G65" s="8">
        <v>-9.2999999999999992E-3</v>
      </c>
      <c r="H65">
        <v>10.110000000000582</v>
      </c>
    </row>
    <row r="66" spans="1:8" x14ac:dyDescent="0.25">
      <c r="A66" s="9">
        <v>45331</v>
      </c>
      <c r="B66" s="7">
        <v>7646.42</v>
      </c>
      <c r="C66" s="7">
        <v>7628.86</v>
      </c>
      <c r="D66" s="7">
        <v>7649.1</v>
      </c>
      <c r="E66" s="7">
        <v>7572.77</v>
      </c>
      <c r="F66" t="s">
        <v>137</v>
      </c>
      <c r="G66" s="8">
        <v>2E-3</v>
      </c>
      <c r="H66">
        <v>73.649999999999636</v>
      </c>
    </row>
    <row r="67" spans="1:8" x14ac:dyDescent="0.25">
      <c r="A67" t="s">
        <v>138</v>
      </c>
      <c r="B67" s="7">
        <v>7630.95</v>
      </c>
      <c r="C67" s="7">
        <v>7645.53</v>
      </c>
      <c r="D67" s="7">
        <v>7693.82</v>
      </c>
      <c r="E67" s="7">
        <v>7630.95</v>
      </c>
      <c r="F67" t="s">
        <v>139</v>
      </c>
      <c r="G67" s="8">
        <v>-1.2999999999999999E-3</v>
      </c>
      <c r="H67">
        <v>0</v>
      </c>
    </row>
    <row r="68" spans="1:8" x14ac:dyDescent="0.25">
      <c r="A68" t="s">
        <v>140</v>
      </c>
      <c r="B68" s="7">
        <v>7640.95</v>
      </c>
      <c r="C68" s="7">
        <v>7577.17</v>
      </c>
      <c r="D68" s="7">
        <v>7644.68</v>
      </c>
      <c r="E68" s="7">
        <v>7576.36</v>
      </c>
      <c r="F68" t="s">
        <v>141</v>
      </c>
      <c r="G68" s="8">
        <v>8.3999999999999995E-3</v>
      </c>
      <c r="H68">
        <v>64.590000000000146</v>
      </c>
    </row>
    <row r="69" spans="1:8" x14ac:dyDescent="0.25">
      <c r="A69" t="s">
        <v>142</v>
      </c>
      <c r="B69" s="7">
        <v>7577.67</v>
      </c>
      <c r="C69" s="7">
        <v>7587.47</v>
      </c>
      <c r="D69" s="7">
        <v>7611.92</v>
      </c>
      <c r="E69" s="7">
        <v>7577.67</v>
      </c>
      <c r="F69" t="s">
        <v>143</v>
      </c>
      <c r="G69" s="8">
        <v>1.6000000000000001E-3</v>
      </c>
      <c r="H69">
        <v>0</v>
      </c>
    </row>
    <row r="70" spans="1:8" x14ac:dyDescent="0.25">
      <c r="A70" t="s">
        <v>144</v>
      </c>
      <c r="B70" s="7">
        <v>7565.78</v>
      </c>
      <c r="C70" s="7">
        <v>7601.27</v>
      </c>
      <c r="D70" s="7">
        <v>7625.08</v>
      </c>
      <c r="E70" s="7">
        <v>7565.78</v>
      </c>
      <c r="F70" t="s">
        <v>145</v>
      </c>
      <c r="G70" s="8">
        <v>-3.2000000000000002E-3</v>
      </c>
      <c r="H70">
        <v>0</v>
      </c>
    </row>
    <row r="71" spans="1:8" x14ac:dyDescent="0.25">
      <c r="A71" t="s">
        <v>146</v>
      </c>
      <c r="B71" s="7">
        <v>7590.37</v>
      </c>
      <c r="C71" s="7">
        <v>7578.02</v>
      </c>
      <c r="D71" s="7">
        <v>7608.32</v>
      </c>
      <c r="E71" s="7">
        <v>7577.63</v>
      </c>
      <c r="F71" t="s">
        <v>147</v>
      </c>
      <c r="G71" s="8">
        <v>1.8E-3</v>
      </c>
      <c r="H71">
        <v>12.739999999999782</v>
      </c>
    </row>
    <row r="72" spans="1:8" x14ac:dyDescent="0.25">
      <c r="A72" t="s">
        <v>148</v>
      </c>
      <c r="B72" s="7">
        <v>7577.04</v>
      </c>
      <c r="C72" s="7">
        <v>7544.73</v>
      </c>
      <c r="D72" s="7">
        <v>7583.5</v>
      </c>
      <c r="E72" s="7">
        <v>7534.3</v>
      </c>
      <c r="F72" t="s">
        <v>149</v>
      </c>
      <c r="G72" s="8">
        <v>7.0000000000000001E-3</v>
      </c>
      <c r="H72">
        <v>42.739999999999782</v>
      </c>
    </row>
    <row r="73" spans="1:8" x14ac:dyDescent="0.25">
      <c r="A73" t="s">
        <v>150</v>
      </c>
      <c r="B73" s="7">
        <v>7524.11</v>
      </c>
      <c r="C73" s="7">
        <v>7527.96</v>
      </c>
      <c r="D73" s="7">
        <v>7568.63</v>
      </c>
      <c r="E73" s="7">
        <v>7523.53</v>
      </c>
      <c r="F73" t="s">
        <v>151</v>
      </c>
      <c r="G73" s="8">
        <v>-1E-4</v>
      </c>
      <c r="H73">
        <v>0.57999999999992724</v>
      </c>
    </row>
    <row r="74" spans="1:8" x14ac:dyDescent="0.25">
      <c r="A74" t="s">
        <v>152</v>
      </c>
      <c r="B74" s="7">
        <v>7524.72</v>
      </c>
      <c r="C74" s="7">
        <v>7486.91</v>
      </c>
      <c r="D74" s="7">
        <v>7530.48</v>
      </c>
      <c r="E74" s="7">
        <v>7486.91</v>
      </c>
      <c r="F74" t="s">
        <v>153</v>
      </c>
      <c r="G74" s="8">
        <v>5.1999999999999998E-3</v>
      </c>
      <c r="H74">
        <v>37.8100000000004</v>
      </c>
    </row>
    <row r="75" spans="1:8" x14ac:dyDescent="0.25">
      <c r="A75" t="s">
        <v>154</v>
      </c>
      <c r="B75" s="7">
        <v>7485.73</v>
      </c>
      <c r="C75" s="7">
        <v>7518.7</v>
      </c>
      <c r="D75" s="7">
        <v>7531.7</v>
      </c>
      <c r="E75" s="7">
        <v>7481.67</v>
      </c>
      <c r="F75" t="s">
        <v>155</v>
      </c>
      <c r="G75" s="8">
        <v>-2.2000000000000001E-3</v>
      </c>
      <c r="H75">
        <v>4.0599999999994907</v>
      </c>
    </row>
    <row r="76" spans="1:8" x14ac:dyDescent="0.25">
      <c r="A76" t="s">
        <v>156</v>
      </c>
      <c r="B76" s="7">
        <v>7502.01</v>
      </c>
      <c r="C76" s="7">
        <v>7445.31</v>
      </c>
      <c r="D76" s="7">
        <v>7519.86</v>
      </c>
      <c r="E76" s="7">
        <v>7444.72</v>
      </c>
      <c r="F76" t="s">
        <v>157</v>
      </c>
      <c r="G76" s="8">
        <v>7.0000000000000001E-3</v>
      </c>
      <c r="H76">
        <v>57.289999999999964</v>
      </c>
    </row>
    <row r="77" spans="1:8" x14ac:dyDescent="0.25">
      <c r="A77" t="s">
        <v>158</v>
      </c>
      <c r="B77" s="7">
        <v>7449.7</v>
      </c>
      <c r="C77" s="7">
        <v>7442.3</v>
      </c>
      <c r="D77" s="7">
        <v>7460.33</v>
      </c>
      <c r="E77" s="7">
        <v>7421.48</v>
      </c>
      <c r="F77" t="s">
        <v>159</v>
      </c>
      <c r="G77" s="8">
        <v>3.5000000000000001E-3</v>
      </c>
      <c r="H77">
        <v>28.220000000000255</v>
      </c>
    </row>
    <row r="78" spans="1:8" x14ac:dyDescent="0.25">
      <c r="A78" t="s">
        <v>160</v>
      </c>
      <c r="B78" s="7">
        <v>7423.37</v>
      </c>
      <c r="C78" s="7">
        <v>7356.07</v>
      </c>
      <c r="D78" s="7">
        <v>7437.34</v>
      </c>
      <c r="E78" s="7">
        <v>7318.14</v>
      </c>
      <c r="F78" t="s">
        <v>161</v>
      </c>
      <c r="G78" s="8">
        <v>1.23E-2</v>
      </c>
      <c r="H78">
        <v>105.22999999999956</v>
      </c>
    </row>
    <row r="79" spans="1:8" x14ac:dyDescent="0.25">
      <c r="A79" t="s">
        <v>162</v>
      </c>
      <c r="B79" s="7">
        <v>7333.36</v>
      </c>
      <c r="C79" s="7">
        <v>7330.16</v>
      </c>
      <c r="D79" s="7">
        <v>7333.36</v>
      </c>
      <c r="E79" s="7">
        <v>7295.89</v>
      </c>
      <c r="F79" t="s">
        <v>163</v>
      </c>
      <c r="G79" s="8">
        <v>7.9000000000000008E-3</v>
      </c>
      <c r="H79">
        <v>37.469999999999345</v>
      </c>
    </row>
    <row r="80" spans="1:8" x14ac:dyDescent="0.25">
      <c r="A80" t="s">
        <v>164</v>
      </c>
      <c r="B80" s="7">
        <v>7275.87</v>
      </c>
      <c r="C80" s="7">
        <v>7277.7</v>
      </c>
      <c r="D80" s="7">
        <v>7282.85</v>
      </c>
      <c r="E80" s="7">
        <v>7222.08</v>
      </c>
      <c r="F80" t="s">
        <v>165</v>
      </c>
      <c r="G80" s="8">
        <v>3.5000000000000001E-3</v>
      </c>
      <c r="H80">
        <v>53.789999999999964</v>
      </c>
    </row>
    <row r="81" spans="1:8" x14ac:dyDescent="0.25">
      <c r="A81" s="9">
        <v>45634</v>
      </c>
      <c r="B81" s="7">
        <v>7250.67</v>
      </c>
      <c r="C81" s="7">
        <v>7296.84</v>
      </c>
      <c r="D81" s="7">
        <v>7307.45</v>
      </c>
      <c r="E81" s="7">
        <v>7234.2</v>
      </c>
      <c r="F81" t="s">
        <v>166</v>
      </c>
      <c r="G81" s="8">
        <v>-2.5999999999999999E-3</v>
      </c>
      <c r="H81">
        <v>16.470000000000255</v>
      </c>
    </row>
    <row r="82" spans="1:8" x14ac:dyDescent="0.25">
      <c r="A82" s="9">
        <v>45543</v>
      </c>
      <c r="B82" s="7">
        <v>7269.71</v>
      </c>
      <c r="C82" s="7">
        <v>7259.7</v>
      </c>
      <c r="D82" s="7">
        <v>7319.51</v>
      </c>
      <c r="E82" s="7">
        <v>7233.69</v>
      </c>
      <c r="F82" t="s">
        <v>167</v>
      </c>
      <c r="G82" s="8">
        <v>3.0999999999999999E-3</v>
      </c>
      <c r="H82">
        <v>36.020000000000437</v>
      </c>
    </row>
    <row r="83" spans="1:8" x14ac:dyDescent="0.25">
      <c r="A83" s="9">
        <v>45512</v>
      </c>
      <c r="B83" s="7">
        <v>7247.45</v>
      </c>
      <c r="C83" s="7">
        <v>7223.01</v>
      </c>
      <c r="D83" s="7">
        <v>7262.08</v>
      </c>
      <c r="E83" s="7">
        <v>7168.99</v>
      </c>
      <c r="F83" t="s">
        <v>168</v>
      </c>
      <c r="G83" s="8">
        <v>-2.5999999999999999E-3</v>
      </c>
      <c r="H83">
        <v>78.460000000000036</v>
      </c>
    </row>
    <row r="84" spans="1:8" x14ac:dyDescent="0.25">
      <c r="A84" s="9">
        <v>45481</v>
      </c>
      <c r="B84" s="7">
        <v>7266.01</v>
      </c>
      <c r="C84" s="7">
        <v>7161.94</v>
      </c>
      <c r="D84" s="7">
        <v>7287.85</v>
      </c>
      <c r="E84" s="7">
        <v>7145.88</v>
      </c>
      <c r="F84" t="s">
        <v>169</v>
      </c>
      <c r="G84" s="8">
        <v>1.9099999999999999E-2</v>
      </c>
      <c r="H84">
        <v>120.13000000000011</v>
      </c>
    </row>
    <row r="85" spans="1:8" x14ac:dyDescent="0.25">
      <c r="A85" s="9">
        <v>45451</v>
      </c>
      <c r="B85" s="7">
        <v>7130.04</v>
      </c>
      <c r="C85" s="7">
        <v>7160.07</v>
      </c>
      <c r="D85" s="7">
        <v>7184.29</v>
      </c>
      <c r="E85" s="7">
        <v>7070.02</v>
      </c>
      <c r="F85" t="s">
        <v>170</v>
      </c>
      <c r="G85" s="8">
        <v>-2.7000000000000001E-3</v>
      </c>
      <c r="H85">
        <v>60.019999999999527</v>
      </c>
    </row>
    <row r="86" spans="1:8" x14ac:dyDescent="0.25">
      <c r="A86" s="9">
        <v>45420</v>
      </c>
      <c r="B86" s="7">
        <v>7148.99</v>
      </c>
      <c r="C86" s="7">
        <v>7099.59</v>
      </c>
      <c r="D86" s="7">
        <v>7158.6</v>
      </c>
      <c r="E86" s="7">
        <v>7029.91</v>
      </c>
      <c r="F86" t="s">
        <v>171</v>
      </c>
      <c r="G86" s="8">
        <v>-1.4200000000000001E-2</v>
      </c>
      <c r="H86">
        <v>119.07999999999993</v>
      </c>
    </row>
    <row r="87" spans="1:8" x14ac:dyDescent="0.25">
      <c r="A87" s="9">
        <v>45330</v>
      </c>
      <c r="B87" s="7">
        <v>7251.8</v>
      </c>
      <c r="C87" s="7">
        <v>7330.6</v>
      </c>
      <c r="D87" s="7">
        <v>7350.29</v>
      </c>
      <c r="E87" s="7">
        <v>7227.79</v>
      </c>
      <c r="F87" t="s">
        <v>172</v>
      </c>
      <c r="G87" s="8">
        <v>-1.61E-2</v>
      </c>
      <c r="H87">
        <v>24.010000000000218</v>
      </c>
    </row>
    <row r="88" spans="1:8" x14ac:dyDescent="0.25">
      <c r="A88" s="9">
        <v>45299</v>
      </c>
      <c r="B88" s="7">
        <v>7370.45</v>
      </c>
      <c r="C88" s="7">
        <v>7478.14</v>
      </c>
      <c r="D88" s="7">
        <v>7487.12</v>
      </c>
      <c r="E88" s="7">
        <v>7358.09</v>
      </c>
      <c r="F88" t="s">
        <v>173</v>
      </c>
      <c r="G88" s="8">
        <v>-2.1399999999999999E-2</v>
      </c>
      <c r="H88">
        <v>12.359999999999673</v>
      </c>
    </row>
    <row r="89" spans="1:8" x14ac:dyDescent="0.25">
      <c r="A89" t="s">
        <v>174</v>
      </c>
      <c r="B89" s="7">
        <v>7531.49</v>
      </c>
      <c r="C89" s="7">
        <v>7565.1</v>
      </c>
      <c r="D89" s="7">
        <v>7584.49</v>
      </c>
      <c r="E89" s="7">
        <v>7518.47</v>
      </c>
      <c r="F89" t="s">
        <v>170</v>
      </c>
      <c r="G89" s="8">
        <v>7.6E-3</v>
      </c>
      <c r="H89">
        <v>13.019999999999527</v>
      </c>
    </row>
    <row r="90" spans="1:8" x14ac:dyDescent="0.25">
      <c r="A90" t="s">
        <v>175</v>
      </c>
      <c r="B90" s="7">
        <v>7474.94</v>
      </c>
      <c r="C90" s="7">
        <v>7461.61</v>
      </c>
      <c r="D90" s="7">
        <v>7501.56</v>
      </c>
      <c r="E90" s="7">
        <v>7450.93</v>
      </c>
      <c r="F90" t="s">
        <v>176</v>
      </c>
      <c r="G90" s="8">
        <v>4.1999999999999997E-3</v>
      </c>
      <c r="H90">
        <v>24.009999999999309</v>
      </c>
    </row>
    <row r="91" spans="1:8" x14ac:dyDescent="0.25">
      <c r="A91" t="s">
        <v>177</v>
      </c>
      <c r="B91" s="7">
        <v>7443.84</v>
      </c>
      <c r="C91" s="7">
        <v>7547.45</v>
      </c>
      <c r="D91" s="7">
        <v>7547.64</v>
      </c>
      <c r="E91" s="7">
        <v>7429.43</v>
      </c>
      <c r="F91" t="s">
        <v>178</v>
      </c>
      <c r="G91" s="8">
        <v>-9.7999999999999997E-3</v>
      </c>
      <c r="H91">
        <v>14.409999999999854</v>
      </c>
    </row>
    <row r="92" spans="1:8" x14ac:dyDescent="0.25">
      <c r="A92" t="s">
        <v>179</v>
      </c>
      <c r="B92" s="7">
        <v>7517.68</v>
      </c>
      <c r="C92" s="7">
        <v>7444.41</v>
      </c>
      <c r="D92" s="7">
        <v>7526.27</v>
      </c>
      <c r="E92" s="7">
        <v>7427.47</v>
      </c>
      <c r="F92" t="s">
        <v>180</v>
      </c>
      <c r="G92" s="8">
        <v>1.2200000000000001E-2</v>
      </c>
      <c r="H92">
        <v>90.210000000000036</v>
      </c>
    </row>
    <row r="93" spans="1:8" x14ac:dyDescent="0.25">
      <c r="A93" t="s">
        <v>181</v>
      </c>
      <c r="B93" s="7">
        <v>7427.02</v>
      </c>
      <c r="C93" s="7">
        <v>7416.7</v>
      </c>
      <c r="D93" s="7">
        <v>7430.94</v>
      </c>
      <c r="E93" s="7">
        <v>7341.25</v>
      </c>
      <c r="F93" t="s">
        <v>182</v>
      </c>
      <c r="G93" s="8">
        <v>-1.15E-2</v>
      </c>
      <c r="H93">
        <v>85.770000000000437</v>
      </c>
    </row>
    <row r="94" spans="1:8" x14ac:dyDescent="0.25">
      <c r="A94" t="s">
        <v>183</v>
      </c>
      <c r="B94" s="7">
        <v>7513.73</v>
      </c>
      <c r="C94" s="7">
        <v>7500.67</v>
      </c>
      <c r="D94" s="7">
        <v>7539.95</v>
      </c>
      <c r="E94" s="7">
        <v>7464.1</v>
      </c>
      <c r="F94" t="s">
        <v>184</v>
      </c>
      <c r="G94" s="8">
        <v>-1.12E-2</v>
      </c>
      <c r="H94">
        <v>49.6299999999992</v>
      </c>
    </row>
    <row r="95" spans="1:8" x14ac:dyDescent="0.25">
      <c r="A95" t="s">
        <v>185</v>
      </c>
      <c r="B95" s="7">
        <v>7598.63</v>
      </c>
      <c r="C95" s="7">
        <v>7628.02</v>
      </c>
      <c r="D95" s="7">
        <v>7661.77</v>
      </c>
      <c r="E95" s="7">
        <v>7572.98</v>
      </c>
      <c r="F95" t="s">
        <v>186</v>
      </c>
      <c r="G95" s="8">
        <v>-3.0999999999999999E-3</v>
      </c>
      <c r="H95">
        <v>25.650000000000546</v>
      </c>
    </row>
    <row r="96" spans="1:8" x14ac:dyDescent="0.25">
      <c r="A96" t="s">
        <v>187</v>
      </c>
      <c r="B96" s="7">
        <v>7622.02</v>
      </c>
      <c r="C96" s="7">
        <v>7573.41</v>
      </c>
      <c r="D96" s="7">
        <v>7650.93</v>
      </c>
      <c r="E96" s="7">
        <v>7566.54</v>
      </c>
      <c r="F96" t="s">
        <v>188</v>
      </c>
      <c r="G96" s="8">
        <v>1.1599999999999999E-2</v>
      </c>
      <c r="H96">
        <v>55.480000000000473</v>
      </c>
    </row>
    <row r="97" spans="1:8" x14ac:dyDescent="0.25">
      <c r="A97" t="s">
        <v>189</v>
      </c>
      <c r="B97" s="7">
        <v>7534.52</v>
      </c>
      <c r="C97" s="7">
        <v>7565.88</v>
      </c>
      <c r="D97" s="7">
        <v>7570.33</v>
      </c>
      <c r="E97" s="7">
        <v>7513.66</v>
      </c>
      <c r="F97" t="s">
        <v>190</v>
      </c>
      <c r="G97" s="8">
        <v>-6.8999999999999999E-3</v>
      </c>
      <c r="H97">
        <v>20.860000000000582</v>
      </c>
    </row>
    <row r="98" spans="1:8" x14ac:dyDescent="0.25">
      <c r="A98" t="s">
        <v>191</v>
      </c>
      <c r="B98" s="7">
        <v>7586.55</v>
      </c>
      <c r="C98" s="7">
        <v>7606.24</v>
      </c>
      <c r="D98" s="7">
        <v>7653.22</v>
      </c>
      <c r="E98" s="7">
        <v>7559.1</v>
      </c>
      <c r="F98" t="s">
        <v>192</v>
      </c>
      <c r="G98" s="8">
        <v>2.0999999999999999E-3</v>
      </c>
      <c r="H98">
        <v>27.449999999999818</v>
      </c>
    </row>
    <row r="99" spans="1:8" x14ac:dyDescent="0.25">
      <c r="A99" t="s">
        <v>193</v>
      </c>
      <c r="B99" s="7">
        <v>7570.81</v>
      </c>
      <c r="C99" s="7">
        <v>7556.13</v>
      </c>
      <c r="D99" s="7">
        <v>7603.46</v>
      </c>
      <c r="E99" s="7">
        <v>7524.88</v>
      </c>
      <c r="F99" t="s">
        <v>194</v>
      </c>
      <c r="G99" s="8">
        <v>-1.1999999999999999E-3</v>
      </c>
      <c r="H99">
        <v>45.930000000000291</v>
      </c>
    </row>
    <row r="100" spans="1:8" x14ac:dyDescent="0.25">
      <c r="A100" t="s">
        <v>195</v>
      </c>
      <c r="B100" s="7">
        <v>7580.03</v>
      </c>
      <c r="C100" s="7">
        <v>7583.5</v>
      </c>
      <c r="D100" s="7">
        <v>7603.42</v>
      </c>
      <c r="E100" s="7">
        <v>7556.55</v>
      </c>
      <c r="F100" t="s">
        <v>196</v>
      </c>
      <c r="G100" s="8">
        <v>-6.8999999999999999E-3</v>
      </c>
      <c r="H100">
        <v>23.479999999999563</v>
      </c>
    </row>
    <row r="101" spans="1:8" x14ac:dyDescent="0.25">
      <c r="A101" t="s">
        <v>197</v>
      </c>
      <c r="B101" s="7">
        <v>7632.71</v>
      </c>
      <c r="C101" s="7">
        <v>7682.34</v>
      </c>
      <c r="D101" s="7">
        <v>7712.85</v>
      </c>
      <c r="E101" s="7">
        <v>7618.73</v>
      </c>
      <c r="F101" t="s">
        <v>198</v>
      </c>
      <c r="G101" s="8">
        <v>-1.1900000000000001E-2</v>
      </c>
    </row>
    <row r="102" spans="1:8" x14ac:dyDescent="0.25">
      <c r="A102" s="9">
        <v>45633</v>
      </c>
      <c r="B102" s="7">
        <v>7724.32</v>
      </c>
      <c r="C102" s="7">
        <v>7664.94</v>
      </c>
      <c r="D102" s="7">
        <v>7737.16</v>
      </c>
      <c r="E102" s="7">
        <v>7659.09</v>
      </c>
      <c r="F102" t="s">
        <v>199</v>
      </c>
      <c r="G102" s="8">
        <v>1.2699999999999999E-2</v>
      </c>
    </row>
    <row r="103" spans="1:8" x14ac:dyDescent="0.25">
      <c r="A103" s="9">
        <v>45603</v>
      </c>
      <c r="B103" s="7">
        <v>7627.13</v>
      </c>
      <c r="C103" s="7">
        <v>7613.09</v>
      </c>
      <c r="D103" s="7">
        <v>7645.98</v>
      </c>
      <c r="E103" s="7">
        <v>7577</v>
      </c>
      <c r="F103" t="s">
        <v>200</v>
      </c>
      <c r="G103" s="8">
        <v>7.1000000000000004E-3</v>
      </c>
    </row>
    <row r="104" spans="1:8" x14ac:dyDescent="0.25">
      <c r="A104" s="9">
        <v>45572</v>
      </c>
      <c r="B104" s="7">
        <v>7573.55</v>
      </c>
      <c r="C104" s="7">
        <v>7525.18</v>
      </c>
      <c r="D104" s="7">
        <v>7580.12</v>
      </c>
      <c r="E104" s="7">
        <v>7487.39</v>
      </c>
      <c r="F104" t="s">
        <v>201</v>
      </c>
      <c r="G104" s="8">
        <v>8.6E-3</v>
      </c>
    </row>
    <row r="105" spans="1:8" x14ac:dyDescent="0.25">
      <c r="A105" s="9">
        <v>45542</v>
      </c>
      <c r="B105" s="7">
        <v>7508.66</v>
      </c>
      <c r="C105" s="7">
        <v>7595.97</v>
      </c>
      <c r="D105" s="7">
        <v>7601.85</v>
      </c>
      <c r="E105" s="7">
        <v>7484.62</v>
      </c>
      <c r="F105" t="s">
        <v>202</v>
      </c>
      <c r="G105" s="8">
        <v>-1.5599999999999999E-2</v>
      </c>
    </row>
    <row r="106" spans="1:8" x14ac:dyDescent="0.25">
      <c r="A106" s="9">
        <v>45511</v>
      </c>
      <c r="B106" s="7">
        <v>7627.45</v>
      </c>
      <c r="C106" s="7">
        <v>7637.89</v>
      </c>
      <c r="D106" s="7">
        <v>7746.06</v>
      </c>
      <c r="E106" s="7">
        <v>7627.45</v>
      </c>
      <c r="F106" t="s">
        <v>203</v>
      </c>
      <c r="G106" s="8">
        <v>-6.3E-3</v>
      </c>
    </row>
    <row r="107" spans="1:8" x14ac:dyDescent="0.25">
      <c r="A107" s="9">
        <v>45419</v>
      </c>
      <c r="B107" s="7">
        <v>7675.62</v>
      </c>
      <c r="C107" s="7">
        <v>7720.54</v>
      </c>
      <c r="D107" s="7">
        <v>7738.19</v>
      </c>
      <c r="E107" s="7">
        <v>7643.69</v>
      </c>
      <c r="F107" t="s">
        <v>204</v>
      </c>
      <c r="G107" s="8">
        <v>-2.5999999999999999E-3</v>
      </c>
    </row>
    <row r="108" spans="1:8" x14ac:dyDescent="0.25">
      <c r="A108" s="9">
        <v>45389</v>
      </c>
      <c r="B108" s="7">
        <v>7695.78</v>
      </c>
      <c r="C108" s="7">
        <v>7677.34</v>
      </c>
      <c r="D108" s="7">
        <v>7701.35</v>
      </c>
      <c r="E108" s="7">
        <v>7667.05</v>
      </c>
      <c r="F108" t="s">
        <v>205</v>
      </c>
      <c r="G108" s="8">
        <v>8.3000000000000001E-3</v>
      </c>
    </row>
    <row r="109" spans="1:8" x14ac:dyDescent="0.25">
      <c r="A109" s="9">
        <v>45358</v>
      </c>
      <c r="B109" s="7">
        <v>7632.08</v>
      </c>
      <c r="C109" s="7">
        <v>7579.64</v>
      </c>
      <c r="D109" s="7">
        <v>7662.06</v>
      </c>
      <c r="E109" s="7">
        <v>7566.41</v>
      </c>
      <c r="F109" t="s">
        <v>206</v>
      </c>
      <c r="G109" s="8">
        <v>1.24E-2</v>
      </c>
    </row>
    <row r="110" spans="1:8" x14ac:dyDescent="0.25">
      <c r="A110" s="9">
        <v>45329</v>
      </c>
      <c r="B110" s="7">
        <v>7538.29</v>
      </c>
      <c r="C110" s="7">
        <v>7517.65</v>
      </c>
      <c r="D110" s="7">
        <v>7543.15</v>
      </c>
      <c r="E110" s="7">
        <v>7477.27</v>
      </c>
      <c r="F110" t="s">
        <v>207</v>
      </c>
      <c r="G110" s="8">
        <v>-3.0000000000000001E-3</v>
      </c>
    </row>
    <row r="111" spans="1:8" x14ac:dyDescent="0.25">
      <c r="A111" s="9">
        <v>45298</v>
      </c>
      <c r="B111" s="7">
        <v>7561.13</v>
      </c>
      <c r="C111" s="7">
        <v>7673.48</v>
      </c>
      <c r="D111" s="7">
        <v>7688.2</v>
      </c>
      <c r="E111" s="7">
        <v>7561.13</v>
      </c>
      <c r="F111" t="s">
        <v>208</v>
      </c>
      <c r="G111" s="8">
        <v>1.09E-2</v>
      </c>
    </row>
    <row r="112" spans="1:8" x14ac:dyDescent="0.25">
      <c r="A112" t="s">
        <v>209</v>
      </c>
      <c r="B112" s="7">
        <v>7479.4</v>
      </c>
      <c r="C112" s="7">
        <v>7544.4</v>
      </c>
      <c r="D112" s="7">
        <v>7544.4</v>
      </c>
      <c r="E112" s="7">
        <v>7456.47</v>
      </c>
      <c r="F112" t="s">
        <v>210</v>
      </c>
      <c r="G112" s="8">
        <v>-6.7999999999999996E-3</v>
      </c>
    </row>
    <row r="113" spans="1:7" x14ac:dyDescent="0.25">
      <c r="A113" t="s">
        <v>211</v>
      </c>
      <c r="B113" s="7">
        <v>7530.72</v>
      </c>
      <c r="C113" s="7">
        <v>7619.1</v>
      </c>
      <c r="D113" s="7">
        <v>7626.38</v>
      </c>
      <c r="E113" s="7">
        <v>7522.16</v>
      </c>
      <c r="F113" t="s">
        <v>212</v>
      </c>
      <c r="G113" s="8">
        <v>-1.03E-2</v>
      </c>
    </row>
    <row r="114" spans="1:7" x14ac:dyDescent="0.25">
      <c r="A114" t="s">
        <v>213</v>
      </c>
      <c r="B114" s="7">
        <v>7609.15</v>
      </c>
      <c r="C114" s="7">
        <v>7703.8</v>
      </c>
      <c r="D114" s="7">
        <v>7707.15</v>
      </c>
      <c r="E114" s="7">
        <v>7559.63</v>
      </c>
      <c r="F114" t="s">
        <v>214</v>
      </c>
      <c r="G114" s="8">
        <v>-6.8999999999999999E-3</v>
      </c>
    </row>
    <row r="115" spans="1:7" x14ac:dyDescent="0.25">
      <c r="A115" t="s">
        <v>215</v>
      </c>
      <c r="B115" s="7">
        <v>7662.3</v>
      </c>
      <c r="C115" s="7">
        <v>7648.14</v>
      </c>
      <c r="D115" s="7">
        <v>7671.06</v>
      </c>
      <c r="E115" s="7">
        <v>7617.16</v>
      </c>
      <c r="F115" t="s">
        <v>216</v>
      </c>
      <c r="G115" s="8">
        <v>-5.7999999999999996E-3</v>
      </c>
    </row>
    <row r="116" spans="1:7" x14ac:dyDescent="0.25">
      <c r="A116" t="s">
        <v>217</v>
      </c>
      <c r="B116" s="7">
        <v>7706.89</v>
      </c>
      <c r="C116" s="7">
        <v>7633.99</v>
      </c>
      <c r="D116" s="7">
        <v>7725.28</v>
      </c>
      <c r="E116" s="7">
        <v>7629.27</v>
      </c>
      <c r="F116" t="s">
        <v>218</v>
      </c>
      <c r="G116" s="8">
        <v>1.03E-2</v>
      </c>
    </row>
    <row r="117" spans="1:7" x14ac:dyDescent="0.25">
      <c r="A117" t="s">
        <v>219</v>
      </c>
      <c r="B117" s="7">
        <v>7628.57</v>
      </c>
      <c r="C117" s="7">
        <v>7653.14</v>
      </c>
      <c r="D117" s="7">
        <v>7673.73</v>
      </c>
      <c r="E117" s="7">
        <v>7601.82</v>
      </c>
      <c r="F117" t="s">
        <v>220</v>
      </c>
      <c r="G117" s="8">
        <v>-5.5999999999999999E-3</v>
      </c>
    </row>
    <row r="118" spans="1:7" x14ac:dyDescent="0.25">
      <c r="A118" t="s">
        <v>221</v>
      </c>
      <c r="B118" s="7">
        <v>7671.34</v>
      </c>
      <c r="C118" s="7">
        <v>7585.98</v>
      </c>
      <c r="D118" s="7">
        <v>7682.64</v>
      </c>
      <c r="E118" s="7">
        <v>7577.92</v>
      </c>
      <c r="F118" t="s">
        <v>222</v>
      </c>
      <c r="G118" s="8">
        <v>1.34E-2</v>
      </c>
    </row>
    <row r="119" spans="1:7" x14ac:dyDescent="0.25">
      <c r="A119" t="s">
        <v>223</v>
      </c>
      <c r="B119" s="7">
        <v>7570.2</v>
      </c>
      <c r="C119" s="7">
        <v>7617.35</v>
      </c>
      <c r="D119" s="7">
        <v>7626.13</v>
      </c>
      <c r="E119" s="7">
        <v>7566.09</v>
      </c>
      <c r="F119" t="s">
        <v>224</v>
      </c>
      <c r="G119" s="8">
        <v>-7.7000000000000002E-3</v>
      </c>
    </row>
    <row r="120" spans="1:7" x14ac:dyDescent="0.25">
      <c r="A120" t="s">
        <v>225</v>
      </c>
      <c r="B120" s="7">
        <v>7628.8</v>
      </c>
      <c r="C120" s="7">
        <v>7636.69</v>
      </c>
      <c r="D120" s="7">
        <v>7641.12</v>
      </c>
      <c r="E120" s="7">
        <v>7564.02</v>
      </c>
      <c r="F120" t="s">
        <v>226</v>
      </c>
      <c r="G120" s="8">
        <v>7.6E-3</v>
      </c>
    </row>
    <row r="121" spans="1:7" x14ac:dyDescent="0.25">
      <c r="A121" t="s">
        <v>227</v>
      </c>
      <c r="B121" s="7">
        <v>7571.57</v>
      </c>
      <c r="C121" s="7">
        <v>7539.03</v>
      </c>
      <c r="D121" s="7">
        <v>7580.94</v>
      </c>
      <c r="E121" s="7">
        <v>7482.38</v>
      </c>
      <c r="F121" t="s">
        <v>228</v>
      </c>
      <c r="G121" s="8">
        <v>9.1000000000000004E-3</v>
      </c>
    </row>
    <row r="122" spans="1:7" x14ac:dyDescent="0.25">
      <c r="A122" t="s">
        <v>229</v>
      </c>
      <c r="B122" s="7">
        <v>7503.27</v>
      </c>
      <c r="C122" s="7">
        <v>7685.5</v>
      </c>
      <c r="D122" s="7">
        <v>7686.89</v>
      </c>
      <c r="E122" s="7">
        <v>7464.84</v>
      </c>
      <c r="F122" t="s">
        <v>230</v>
      </c>
      <c r="G122" s="8">
        <v>-2.6599999999999999E-2</v>
      </c>
    </row>
    <row r="123" spans="1:7" x14ac:dyDescent="0.25">
      <c r="A123" t="s">
        <v>231</v>
      </c>
      <c r="B123" s="7">
        <v>7708.02</v>
      </c>
      <c r="C123" s="7">
        <v>7855.37</v>
      </c>
      <c r="D123" s="7">
        <v>7858.32</v>
      </c>
      <c r="E123" s="7">
        <v>7692.72</v>
      </c>
      <c r="F123" t="s">
        <v>232</v>
      </c>
      <c r="G123" s="8">
        <v>-1.9900000000000001E-2</v>
      </c>
    </row>
    <row r="124" spans="1:7" x14ac:dyDescent="0.25">
      <c r="A124" s="9">
        <v>45632</v>
      </c>
      <c r="B124" s="7">
        <v>7864.7</v>
      </c>
      <c r="C124" s="7">
        <v>7813.77</v>
      </c>
      <c r="D124" s="7">
        <v>7875.18</v>
      </c>
      <c r="E124" s="7">
        <v>7802.01</v>
      </c>
      <c r="F124" t="s">
        <v>233</v>
      </c>
      <c r="G124" s="8">
        <v>9.7000000000000003E-3</v>
      </c>
    </row>
    <row r="125" spans="1:7" x14ac:dyDescent="0.25">
      <c r="A125" s="9">
        <v>45602</v>
      </c>
      <c r="B125" s="7">
        <v>7789.21</v>
      </c>
      <c r="C125" s="7">
        <v>7921.09</v>
      </c>
      <c r="D125" s="7">
        <v>7931.72</v>
      </c>
      <c r="E125" s="7">
        <v>7759.84</v>
      </c>
      <c r="F125" t="s">
        <v>234</v>
      </c>
      <c r="G125" s="8">
        <v>-1.3299999999999999E-2</v>
      </c>
    </row>
    <row r="126" spans="1:7" x14ac:dyDescent="0.25">
      <c r="A126" s="9">
        <v>45571</v>
      </c>
      <c r="B126" s="7">
        <v>7893.98</v>
      </c>
      <c r="C126" s="7">
        <v>7812.52</v>
      </c>
      <c r="D126" s="7">
        <v>7893.98</v>
      </c>
      <c r="E126" s="7">
        <v>7812.52</v>
      </c>
      <c r="F126" t="s">
        <v>235</v>
      </c>
      <c r="G126" s="8">
        <v>-1.35E-2</v>
      </c>
    </row>
    <row r="127" spans="1:7" x14ac:dyDescent="0.25">
      <c r="A127" s="9">
        <v>45479</v>
      </c>
      <c r="B127" s="7">
        <v>8001.8</v>
      </c>
      <c r="C127" s="7">
        <v>8046.92</v>
      </c>
      <c r="D127" s="7">
        <v>8048.59</v>
      </c>
      <c r="E127" s="7">
        <v>7943.29</v>
      </c>
      <c r="F127" t="s">
        <v>236</v>
      </c>
      <c r="G127" s="8">
        <v>-4.7999999999999996E-3</v>
      </c>
    </row>
    <row r="128" spans="1:7" x14ac:dyDescent="0.25">
      <c r="A128" s="9">
        <v>45449</v>
      </c>
      <c r="B128" s="7">
        <v>8040.12</v>
      </c>
      <c r="C128" s="7">
        <v>8044.29</v>
      </c>
      <c r="D128" s="7">
        <v>8055.52</v>
      </c>
      <c r="E128" s="7">
        <v>8015.69</v>
      </c>
      <c r="F128" t="s">
        <v>237</v>
      </c>
      <c r="G128" s="8">
        <v>4.1999999999999997E-3</v>
      </c>
    </row>
    <row r="129" spans="1:7" x14ac:dyDescent="0.25">
      <c r="A129" s="9">
        <v>45418</v>
      </c>
      <c r="B129" s="7">
        <v>8006.57</v>
      </c>
      <c r="C129" s="7">
        <v>7983.03</v>
      </c>
      <c r="D129" s="7">
        <v>8036.4</v>
      </c>
      <c r="E129" s="7">
        <v>7957.92</v>
      </c>
      <c r="F129" t="s">
        <v>238</v>
      </c>
      <c r="G129" s="8">
        <v>8.6999999999999994E-3</v>
      </c>
    </row>
    <row r="130" spans="1:7" x14ac:dyDescent="0.25">
      <c r="A130" s="9">
        <v>45388</v>
      </c>
      <c r="B130" s="7">
        <v>7937.9</v>
      </c>
      <c r="C130" s="7">
        <v>7974.44</v>
      </c>
      <c r="D130" s="7">
        <v>7984.25</v>
      </c>
      <c r="E130" s="7">
        <v>7914.27</v>
      </c>
      <c r="F130" t="s">
        <v>239</v>
      </c>
      <c r="G130" s="8">
        <v>-7.4999999999999997E-3</v>
      </c>
    </row>
    <row r="131" spans="1:7" x14ac:dyDescent="0.25">
      <c r="A131" s="9">
        <v>45357</v>
      </c>
      <c r="B131" s="7">
        <v>7998.02</v>
      </c>
      <c r="C131" s="7">
        <v>8069.62</v>
      </c>
      <c r="D131" s="7">
        <v>8072.31</v>
      </c>
      <c r="E131" s="7">
        <v>7995.08</v>
      </c>
      <c r="F131" t="s">
        <v>240</v>
      </c>
      <c r="G131" s="8">
        <v>5.9999999999999995E-4</v>
      </c>
    </row>
    <row r="132" spans="1:7" x14ac:dyDescent="0.25">
      <c r="A132" t="s">
        <v>241</v>
      </c>
      <c r="B132" s="7">
        <v>7992.87</v>
      </c>
      <c r="C132" s="7">
        <v>7972.55</v>
      </c>
      <c r="D132" s="7">
        <v>7996.89</v>
      </c>
      <c r="E132" s="7">
        <v>7960.17</v>
      </c>
      <c r="F132" t="s">
        <v>242</v>
      </c>
      <c r="G132" s="8">
        <v>1.8E-3</v>
      </c>
    </row>
    <row r="133" spans="1:7" x14ac:dyDescent="0.25">
      <c r="A133" t="s">
        <v>243</v>
      </c>
      <c r="B133" s="7">
        <v>7978.51</v>
      </c>
      <c r="C133" s="7">
        <v>7914.85</v>
      </c>
      <c r="D133" s="7">
        <v>7981.08</v>
      </c>
      <c r="E133" s="7">
        <v>7914.17</v>
      </c>
      <c r="F133" t="s">
        <v>244</v>
      </c>
      <c r="G133" s="8">
        <v>5.4999999999999997E-3</v>
      </c>
    </row>
    <row r="134" spans="1:7" x14ac:dyDescent="0.25">
      <c r="A134" t="s">
        <v>245</v>
      </c>
      <c r="B134" s="7">
        <v>7935.03</v>
      </c>
      <c r="C134" s="7">
        <v>8033.56</v>
      </c>
      <c r="D134" s="7">
        <v>8040.03</v>
      </c>
      <c r="E134" s="7">
        <v>7926.42</v>
      </c>
      <c r="F134" t="s">
        <v>246</v>
      </c>
      <c r="G134" s="8">
        <v>-1.52E-2</v>
      </c>
    </row>
    <row r="135" spans="1:7" x14ac:dyDescent="0.25">
      <c r="A135" t="s">
        <v>247</v>
      </c>
      <c r="B135" s="7">
        <v>8057.8</v>
      </c>
      <c r="C135" s="7">
        <v>8134.72</v>
      </c>
      <c r="D135" s="7">
        <v>8148.76</v>
      </c>
      <c r="E135" s="7">
        <v>8041.02</v>
      </c>
      <c r="F135" t="s">
        <v>248</v>
      </c>
      <c r="G135" s="8">
        <v>-9.1999999999999998E-3</v>
      </c>
    </row>
    <row r="136" spans="1:7" x14ac:dyDescent="0.25">
      <c r="A136" t="s">
        <v>249</v>
      </c>
      <c r="B136" s="7">
        <v>8132.49</v>
      </c>
      <c r="C136" s="7">
        <v>8088.34</v>
      </c>
      <c r="D136" s="7">
        <v>8132.49</v>
      </c>
      <c r="E136" s="7">
        <v>8086.76</v>
      </c>
      <c r="F136" t="s">
        <v>250</v>
      </c>
      <c r="G136" s="8">
        <v>4.5999999999999999E-3</v>
      </c>
    </row>
    <row r="137" spans="1:7" x14ac:dyDescent="0.25">
      <c r="A137" t="s">
        <v>251</v>
      </c>
      <c r="B137" s="7">
        <v>8094.97</v>
      </c>
      <c r="C137" s="7">
        <v>8053.79</v>
      </c>
      <c r="D137" s="7">
        <v>8104.07</v>
      </c>
      <c r="E137" s="7">
        <v>8042.3</v>
      </c>
      <c r="F137" t="s">
        <v>252</v>
      </c>
      <c r="G137" s="8">
        <v>-8.9999999999999998E-4</v>
      </c>
    </row>
    <row r="138" spans="1:7" x14ac:dyDescent="0.25">
      <c r="A138" t="s">
        <v>253</v>
      </c>
      <c r="B138" s="7">
        <v>8102.33</v>
      </c>
      <c r="C138" s="7">
        <v>8104.31</v>
      </c>
      <c r="D138" s="7">
        <v>8135.81</v>
      </c>
      <c r="E138" s="7">
        <v>8082.48</v>
      </c>
      <c r="F138" t="s">
        <v>254</v>
      </c>
      <c r="G138" s="8">
        <v>1.2999999999999999E-3</v>
      </c>
    </row>
    <row r="139" spans="1:7" x14ac:dyDescent="0.25">
      <c r="A139" t="s">
        <v>255</v>
      </c>
      <c r="B139" s="7">
        <v>8092.11</v>
      </c>
      <c r="C139" s="7">
        <v>8128.58</v>
      </c>
      <c r="D139" s="7">
        <v>8128.58</v>
      </c>
      <c r="E139" s="7">
        <v>8078.5</v>
      </c>
      <c r="F139" t="s">
        <v>256</v>
      </c>
      <c r="G139" s="8">
        <v>-6.1000000000000004E-3</v>
      </c>
    </row>
    <row r="140" spans="1:7" x14ac:dyDescent="0.25">
      <c r="A140" t="s">
        <v>257</v>
      </c>
      <c r="B140" s="7">
        <v>8141.46</v>
      </c>
      <c r="C140" s="7">
        <v>8163.17</v>
      </c>
      <c r="D140" s="7">
        <v>8167.5</v>
      </c>
      <c r="E140" s="7">
        <v>8097.98</v>
      </c>
      <c r="F140" t="s">
        <v>258</v>
      </c>
      <c r="G140" s="8">
        <v>-6.7000000000000002E-3</v>
      </c>
    </row>
    <row r="141" spans="1:7" x14ac:dyDescent="0.25">
      <c r="A141" t="s">
        <v>259</v>
      </c>
      <c r="B141" s="7">
        <v>8195.9699999999993</v>
      </c>
      <c r="C141" s="7">
        <v>8178.63</v>
      </c>
      <c r="D141" s="7">
        <v>8221.2999999999993</v>
      </c>
      <c r="E141" s="7">
        <v>8175.46</v>
      </c>
      <c r="F141" t="s">
        <v>260</v>
      </c>
      <c r="G141" s="8">
        <v>3.5000000000000001E-3</v>
      </c>
    </row>
    <row r="142" spans="1:7" x14ac:dyDescent="0.25">
      <c r="A142" t="s">
        <v>261</v>
      </c>
      <c r="B142" s="7">
        <v>8167.5</v>
      </c>
      <c r="C142" s="7">
        <v>8176.79</v>
      </c>
      <c r="D142" s="7">
        <v>8192.92</v>
      </c>
      <c r="E142" s="7">
        <v>8135.8</v>
      </c>
      <c r="F142" t="s">
        <v>262</v>
      </c>
      <c r="G142" s="8">
        <v>-2.5999999999999999E-3</v>
      </c>
    </row>
    <row r="143" spans="1:7" x14ac:dyDescent="0.25">
      <c r="A143" t="s">
        <v>263</v>
      </c>
      <c r="B143" s="7">
        <v>8188.49</v>
      </c>
      <c r="C143" s="7">
        <v>8239.77</v>
      </c>
      <c r="D143" s="7">
        <v>8239.77</v>
      </c>
      <c r="E143" s="7">
        <v>8183.19</v>
      </c>
      <c r="F143" t="s">
        <v>264</v>
      </c>
      <c r="G143" s="8">
        <v>-6.3E-3</v>
      </c>
    </row>
    <row r="144" spans="1:7" x14ac:dyDescent="0.25">
      <c r="A144" t="s">
        <v>265</v>
      </c>
      <c r="B144" s="7">
        <v>8239.99</v>
      </c>
      <c r="C144" s="7">
        <v>8241.68</v>
      </c>
      <c r="D144" s="7">
        <v>8253.1</v>
      </c>
      <c r="E144" s="7">
        <v>8203.4</v>
      </c>
      <c r="F144" t="s">
        <v>266</v>
      </c>
      <c r="G144" s="8">
        <v>1.6999999999999999E-3</v>
      </c>
    </row>
    <row r="145" spans="1:7" x14ac:dyDescent="0.25">
      <c r="A145" t="s">
        <v>267</v>
      </c>
      <c r="B145" s="7">
        <v>8225.7999999999993</v>
      </c>
      <c r="C145" s="7">
        <v>8213.81</v>
      </c>
      <c r="D145" s="7">
        <v>8233.18</v>
      </c>
      <c r="E145" s="7">
        <v>8187.69</v>
      </c>
      <c r="F145" t="s">
        <v>268</v>
      </c>
      <c r="G145" s="8">
        <v>2E-3</v>
      </c>
    </row>
    <row r="146" spans="1:7" x14ac:dyDescent="0.25">
      <c r="A146" t="s">
        <v>269</v>
      </c>
      <c r="B146" s="7">
        <v>8209.2800000000007</v>
      </c>
      <c r="C146" s="7">
        <v>8211.07</v>
      </c>
      <c r="D146" s="7">
        <v>8223.81</v>
      </c>
      <c r="E146" s="7">
        <v>8186.77</v>
      </c>
      <c r="F146" t="s">
        <v>270</v>
      </c>
      <c r="G146" s="8">
        <v>-1.1999999999999999E-3</v>
      </c>
    </row>
    <row r="147" spans="1:7" x14ac:dyDescent="0.25">
      <c r="A147" s="9">
        <v>45570</v>
      </c>
      <c r="B147" s="7">
        <v>8219.14</v>
      </c>
      <c r="C147" s="7">
        <v>8232.65</v>
      </c>
      <c r="D147" s="7">
        <v>8259.19</v>
      </c>
      <c r="E147" s="7">
        <v>8211.2000000000007</v>
      </c>
      <c r="F147" t="s">
        <v>271</v>
      </c>
      <c r="G147" s="8">
        <v>3.8E-3</v>
      </c>
    </row>
    <row r="148" spans="1:7" x14ac:dyDescent="0.25">
      <c r="A148" s="9">
        <v>45540</v>
      </c>
      <c r="B148" s="7">
        <v>8187.65</v>
      </c>
      <c r="C148" s="7">
        <v>8123.92</v>
      </c>
      <c r="D148" s="7">
        <v>8191.92</v>
      </c>
      <c r="E148" s="7">
        <v>8114.88</v>
      </c>
      <c r="F148" t="s">
        <v>272</v>
      </c>
      <c r="G148" s="8">
        <v>6.8999999999999999E-3</v>
      </c>
    </row>
    <row r="149" spans="1:7" x14ac:dyDescent="0.25">
      <c r="A149" s="9">
        <v>45509</v>
      </c>
      <c r="B149" s="7">
        <v>8131.41</v>
      </c>
      <c r="C149" s="7">
        <v>8093.62</v>
      </c>
      <c r="D149" s="7">
        <v>8157.48</v>
      </c>
      <c r="E149" s="7">
        <v>8089.28</v>
      </c>
      <c r="F149" t="s">
        <v>273</v>
      </c>
      <c r="G149" s="8">
        <v>6.8999999999999999E-3</v>
      </c>
    </row>
    <row r="150" spans="1:7" x14ac:dyDescent="0.25">
      <c r="A150" s="9">
        <v>45478</v>
      </c>
      <c r="B150" s="7">
        <v>8075.68</v>
      </c>
      <c r="C150" s="7">
        <v>8036.75</v>
      </c>
      <c r="D150" s="7">
        <v>8077.64</v>
      </c>
      <c r="E150" s="7">
        <v>8006.31</v>
      </c>
      <c r="F150" t="s">
        <v>274</v>
      </c>
      <c r="G150" s="8">
        <v>9.9000000000000008E-3</v>
      </c>
    </row>
    <row r="151" spans="1:7" x14ac:dyDescent="0.25">
      <c r="A151" s="9">
        <v>45448</v>
      </c>
      <c r="B151" s="7">
        <v>7996.64</v>
      </c>
      <c r="C151" s="7">
        <v>7975.86</v>
      </c>
      <c r="D151" s="7">
        <v>8033.23</v>
      </c>
      <c r="E151" s="7">
        <v>7961.45</v>
      </c>
      <c r="F151" t="s">
        <v>275</v>
      </c>
      <c r="G151" s="8">
        <v>4.8999999999999998E-3</v>
      </c>
    </row>
    <row r="152" spans="1:7" x14ac:dyDescent="0.25">
      <c r="A152" s="9">
        <v>45356</v>
      </c>
      <c r="B152" s="7">
        <v>7957.57</v>
      </c>
      <c r="C152" s="7">
        <v>7943.87</v>
      </c>
      <c r="D152" s="7">
        <v>8003.95</v>
      </c>
      <c r="E152" s="7">
        <v>7921.21</v>
      </c>
      <c r="F152" t="s">
        <v>276</v>
      </c>
      <c r="G152" s="8">
        <v>5.4000000000000003E-3</v>
      </c>
    </row>
    <row r="153" spans="1:7" x14ac:dyDescent="0.25">
      <c r="A153" s="9">
        <v>45327</v>
      </c>
      <c r="B153" s="7">
        <v>7914.65</v>
      </c>
      <c r="C153" s="7">
        <v>7954.01</v>
      </c>
      <c r="D153" s="7">
        <v>7956.52</v>
      </c>
      <c r="E153" s="7">
        <v>7908.63</v>
      </c>
      <c r="F153" t="s">
        <v>277</v>
      </c>
      <c r="G153" s="8">
        <v>-8.8000000000000005E-3</v>
      </c>
    </row>
    <row r="154" spans="1:7" x14ac:dyDescent="0.25">
      <c r="A154" t="s">
        <v>278</v>
      </c>
      <c r="B154" s="7">
        <v>7984.93</v>
      </c>
      <c r="C154" s="7">
        <v>8073.64</v>
      </c>
      <c r="D154" s="7">
        <v>8081.71</v>
      </c>
      <c r="E154" s="7">
        <v>7971.8</v>
      </c>
      <c r="F154" t="s">
        <v>279</v>
      </c>
      <c r="G154" s="8">
        <v>-9.9000000000000008E-3</v>
      </c>
    </row>
    <row r="155" spans="1:7" x14ac:dyDescent="0.25">
      <c r="A155" t="s">
        <v>280</v>
      </c>
      <c r="B155" s="7">
        <v>8065.15</v>
      </c>
      <c r="C155" s="7">
        <v>8116.43</v>
      </c>
      <c r="D155" s="7">
        <v>8128</v>
      </c>
      <c r="E155" s="7">
        <v>8065.15</v>
      </c>
      <c r="F155" t="s">
        <v>281</v>
      </c>
      <c r="G155" s="8">
        <v>-2.8999999999999998E-3</v>
      </c>
    </row>
    <row r="156" spans="1:7" x14ac:dyDescent="0.25">
      <c r="A156" t="s">
        <v>282</v>
      </c>
      <c r="B156" s="7">
        <v>8088.24</v>
      </c>
      <c r="C156" s="7">
        <v>8072.23</v>
      </c>
      <c r="D156" s="7">
        <v>8114.63</v>
      </c>
      <c r="E156" s="7">
        <v>8024.62</v>
      </c>
      <c r="F156" t="s">
        <v>283</v>
      </c>
      <c r="G156" s="8">
        <v>8.8999999999999999E-3</v>
      </c>
    </row>
    <row r="157" spans="1:7" x14ac:dyDescent="0.25">
      <c r="A157" t="s">
        <v>284</v>
      </c>
      <c r="B157" s="7">
        <v>8016.65</v>
      </c>
      <c r="C157" s="7">
        <v>8094.55</v>
      </c>
      <c r="D157" s="7">
        <v>8095.43</v>
      </c>
      <c r="E157" s="7">
        <v>7955.51</v>
      </c>
      <c r="F157" t="s">
        <v>285</v>
      </c>
      <c r="G157" s="8">
        <v>-9.2999999999999992E-3</v>
      </c>
    </row>
    <row r="158" spans="1:7" x14ac:dyDescent="0.25">
      <c r="A158" t="s">
        <v>286</v>
      </c>
      <c r="B158" s="7">
        <v>8091.86</v>
      </c>
      <c r="C158" s="7">
        <v>8105.22</v>
      </c>
      <c r="D158" s="7">
        <v>8146.96</v>
      </c>
      <c r="E158" s="7">
        <v>8078.77</v>
      </c>
      <c r="F158" t="s">
        <v>287</v>
      </c>
      <c r="G158" s="8">
        <v>-1.6999999999999999E-3</v>
      </c>
    </row>
    <row r="159" spans="1:7" x14ac:dyDescent="0.25">
      <c r="A159" t="s">
        <v>288</v>
      </c>
      <c r="B159" s="7">
        <v>8105.78</v>
      </c>
      <c r="C159" s="7">
        <v>8064.32</v>
      </c>
      <c r="D159" s="7">
        <v>8111.17</v>
      </c>
      <c r="E159" s="7">
        <v>8052.57</v>
      </c>
      <c r="F159" t="s">
        <v>289</v>
      </c>
      <c r="G159" s="8">
        <v>8.0999999999999996E-3</v>
      </c>
    </row>
    <row r="160" spans="1:7" x14ac:dyDescent="0.25">
      <c r="A160" t="s">
        <v>290</v>
      </c>
      <c r="B160" s="7">
        <v>8040.36</v>
      </c>
      <c r="C160" s="7">
        <v>8068.14</v>
      </c>
      <c r="D160" s="7">
        <v>8071.81</v>
      </c>
      <c r="E160" s="7">
        <v>8007.45</v>
      </c>
      <c r="F160" t="s">
        <v>291</v>
      </c>
      <c r="G160" s="8">
        <v>2.2000000000000001E-3</v>
      </c>
    </row>
    <row r="161" spans="1:7" x14ac:dyDescent="0.25">
      <c r="A161" t="s">
        <v>292</v>
      </c>
      <c r="B161" s="7">
        <v>8022.41</v>
      </c>
      <c r="C161" s="7">
        <v>7971.68</v>
      </c>
      <c r="D161" s="7">
        <v>8039.48</v>
      </c>
      <c r="E161" s="7">
        <v>7946.84</v>
      </c>
      <c r="F161" t="s">
        <v>293</v>
      </c>
      <c r="G161" s="8">
        <v>-1E-4</v>
      </c>
    </row>
    <row r="162" spans="1:7" x14ac:dyDescent="0.25">
      <c r="A162" t="s">
        <v>294</v>
      </c>
      <c r="B162" s="7">
        <v>8023.26</v>
      </c>
      <c r="C162" s="7">
        <v>8013.91</v>
      </c>
      <c r="D162" s="7">
        <v>8039.19</v>
      </c>
      <c r="E162" s="7">
        <v>7976.4</v>
      </c>
      <c r="F162" t="s">
        <v>295</v>
      </c>
      <c r="G162" s="8">
        <v>5.1999999999999998E-3</v>
      </c>
    </row>
    <row r="163" spans="1:7" x14ac:dyDescent="0.25">
      <c r="A163" t="s">
        <v>296</v>
      </c>
      <c r="B163" s="7">
        <v>7981.51</v>
      </c>
      <c r="C163" s="7">
        <v>7958.52</v>
      </c>
      <c r="D163" s="7">
        <v>8060.99</v>
      </c>
      <c r="E163" s="7">
        <v>7958</v>
      </c>
      <c r="F163" t="s">
        <v>297</v>
      </c>
      <c r="G163" s="8">
        <v>6.1999999999999998E-3</v>
      </c>
    </row>
    <row r="164" spans="1:7" x14ac:dyDescent="0.25">
      <c r="A164" t="s">
        <v>298</v>
      </c>
      <c r="B164" s="7">
        <v>7932.61</v>
      </c>
      <c r="C164" s="7">
        <v>7899.36</v>
      </c>
      <c r="D164" s="7">
        <v>7975.96</v>
      </c>
      <c r="E164" s="7">
        <v>7899.36</v>
      </c>
      <c r="F164" t="s">
        <v>299</v>
      </c>
      <c r="G164" s="8">
        <v>-1.4E-2</v>
      </c>
    </row>
    <row r="165" spans="1:7" x14ac:dyDescent="0.25">
      <c r="A165" t="s">
        <v>300</v>
      </c>
      <c r="B165" s="7">
        <v>8045.11</v>
      </c>
      <c r="C165" s="7">
        <v>8051.26</v>
      </c>
      <c r="D165" s="7">
        <v>8126.38</v>
      </c>
      <c r="E165" s="7">
        <v>8028.84</v>
      </c>
      <c r="F165" t="s">
        <v>273</v>
      </c>
      <c r="G165" s="8">
        <v>4.3E-3</v>
      </c>
    </row>
    <row r="166" spans="1:7" x14ac:dyDescent="0.25">
      <c r="A166" s="9">
        <v>45630</v>
      </c>
      <c r="B166" s="7">
        <v>8010.83</v>
      </c>
      <c r="C166" s="7">
        <v>8092.45</v>
      </c>
      <c r="D166" s="7">
        <v>8118.02</v>
      </c>
      <c r="E166" s="7">
        <v>7980.39</v>
      </c>
      <c r="F166" t="s">
        <v>301</v>
      </c>
      <c r="G166" s="8">
        <v>-1.6000000000000001E-3</v>
      </c>
    </row>
    <row r="167" spans="1:7" x14ac:dyDescent="0.25">
      <c r="A167" s="9">
        <v>45600</v>
      </c>
      <c r="B167" s="7">
        <v>8023.74</v>
      </c>
      <c r="C167" s="7">
        <v>8048.16</v>
      </c>
      <c r="D167" s="7">
        <v>8092.82</v>
      </c>
      <c r="E167" s="7">
        <v>7974.06</v>
      </c>
      <c r="F167" t="s">
        <v>302</v>
      </c>
      <c r="G167" s="8">
        <v>-2.7000000000000001E-3</v>
      </c>
    </row>
    <row r="168" spans="1:7" x14ac:dyDescent="0.25">
      <c r="A168" s="9">
        <v>45569</v>
      </c>
      <c r="B168" s="7">
        <v>8045.38</v>
      </c>
      <c r="C168" s="7">
        <v>8101.04</v>
      </c>
      <c r="D168" s="7">
        <v>8101.47</v>
      </c>
      <c r="E168" s="7">
        <v>7976.01</v>
      </c>
      <c r="F168" t="s">
        <v>303</v>
      </c>
      <c r="G168" s="8">
        <v>-5.0000000000000001E-4</v>
      </c>
    </row>
    <row r="169" spans="1:7" x14ac:dyDescent="0.25">
      <c r="A169" s="9">
        <v>45539</v>
      </c>
      <c r="B169" s="7">
        <v>8049.17</v>
      </c>
      <c r="C169" s="7">
        <v>8090.47</v>
      </c>
      <c r="D169" s="7">
        <v>8103.2</v>
      </c>
      <c r="E169" s="7">
        <v>8032.27</v>
      </c>
      <c r="F169" t="s">
        <v>304</v>
      </c>
      <c r="G169" s="8">
        <v>-8.6E-3</v>
      </c>
    </row>
    <row r="170" spans="1:7" x14ac:dyDescent="0.25">
      <c r="A170" s="9">
        <v>45508</v>
      </c>
      <c r="B170" s="7">
        <v>8119.3</v>
      </c>
      <c r="C170" s="7">
        <v>8050.02</v>
      </c>
      <c r="D170" s="7">
        <v>8145.22</v>
      </c>
      <c r="E170" s="7">
        <v>8049.51</v>
      </c>
      <c r="F170" t="s">
        <v>305</v>
      </c>
      <c r="G170" s="8">
        <v>7.1999999999999998E-3</v>
      </c>
    </row>
    <row r="171" spans="1:7" x14ac:dyDescent="0.25">
      <c r="A171" s="9">
        <v>45416</v>
      </c>
      <c r="B171" s="7">
        <v>8061.31</v>
      </c>
      <c r="C171" s="7">
        <v>8050.25</v>
      </c>
      <c r="D171" s="7">
        <v>8062.01</v>
      </c>
      <c r="E171" s="7">
        <v>8019.29</v>
      </c>
      <c r="F171" t="s">
        <v>306</v>
      </c>
      <c r="G171" s="8">
        <v>-1.11E-2</v>
      </c>
    </row>
    <row r="172" spans="1:7" x14ac:dyDescent="0.25">
      <c r="A172" s="9">
        <v>45386</v>
      </c>
      <c r="B172" s="7">
        <v>8151.55</v>
      </c>
      <c r="C172" s="7">
        <v>8154.41</v>
      </c>
      <c r="D172" s="7">
        <v>8189.66</v>
      </c>
      <c r="E172" s="7">
        <v>8137.98</v>
      </c>
      <c r="F172" t="s">
        <v>307</v>
      </c>
      <c r="G172" s="8">
        <v>-2.0000000000000001E-4</v>
      </c>
    </row>
    <row r="173" spans="1:7" x14ac:dyDescent="0.25">
      <c r="A173" s="9">
        <v>45355</v>
      </c>
      <c r="B173" s="7">
        <v>8153.23</v>
      </c>
      <c r="C173" s="7">
        <v>8144.96</v>
      </c>
      <c r="D173" s="7">
        <v>8160.04</v>
      </c>
      <c r="E173" s="7">
        <v>8120.95</v>
      </c>
      <c r="F173" t="s">
        <v>308</v>
      </c>
      <c r="G173" s="8">
        <v>2.8999999999999998E-3</v>
      </c>
    </row>
    <row r="174" spans="1:7" x14ac:dyDescent="0.25">
      <c r="A174" s="9">
        <v>45326</v>
      </c>
      <c r="B174" s="7">
        <v>8130.05</v>
      </c>
      <c r="C174" s="7">
        <v>8195.65</v>
      </c>
      <c r="D174" s="7">
        <v>8253.0499999999993</v>
      </c>
      <c r="E174" s="7">
        <v>8121.39</v>
      </c>
      <c r="F174" t="s">
        <v>309</v>
      </c>
      <c r="G174" s="8">
        <v>-9.1999999999999998E-3</v>
      </c>
    </row>
    <row r="175" spans="1:7" x14ac:dyDescent="0.25">
      <c r="A175" t="s">
        <v>310</v>
      </c>
      <c r="B175" s="7">
        <v>8205.81</v>
      </c>
      <c r="C175" s="7">
        <v>8216.77</v>
      </c>
      <c r="D175" s="7">
        <v>8253.59</v>
      </c>
      <c r="E175" s="7">
        <v>8205.81</v>
      </c>
      <c r="F175" t="s">
        <v>311</v>
      </c>
      <c r="G175" s="8">
        <v>1E-4</v>
      </c>
    </row>
    <row r="176" spans="1:7" x14ac:dyDescent="0.25">
      <c r="A176" t="s">
        <v>312</v>
      </c>
      <c r="B176" s="7">
        <v>8204.81</v>
      </c>
      <c r="C176" s="7">
        <v>8186.07</v>
      </c>
      <c r="D176" s="7">
        <v>8230.3799999999992</v>
      </c>
      <c r="E176" s="7">
        <v>8174.26</v>
      </c>
      <c r="F176" t="s">
        <v>313</v>
      </c>
      <c r="G176" s="8">
        <v>2.5000000000000001E-3</v>
      </c>
    </row>
    <row r="177" spans="1:7" x14ac:dyDescent="0.25">
      <c r="A177" t="s">
        <v>314</v>
      </c>
      <c r="B177" s="7">
        <v>8184.75</v>
      </c>
      <c r="C177" s="7">
        <v>8160.64</v>
      </c>
      <c r="D177" s="7">
        <v>8188.53</v>
      </c>
      <c r="E177" s="7">
        <v>8136.64</v>
      </c>
      <c r="F177" t="s">
        <v>201</v>
      </c>
      <c r="G177" s="8">
        <v>4.1000000000000003E-3</v>
      </c>
    </row>
    <row r="178" spans="1:7" x14ac:dyDescent="0.25">
      <c r="A178" t="s">
        <v>315</v>
      </c>
      <c r="B178" s="7">
        <v>8151.6</v>
      </c>
      <c r="C178" s="7">
        <v>8147.8</v>
      </c>
      <c r="D178" s="7">
        <v>8165.95</v>
      </c>
      <c r="E178" s="7">
        <v>8101.83</v>
      </c>
      <c r="F178" t="s">
        <v>316</v>
      </c>
      <c r="G178" s="8">
        <v>0</v>
      </c>
    </row>
    <row r="179" spans="1:7" x14ac:dyDescent="0.25">
      <c r="A179" t="s">
        <v>317</v>
      </c>
      <c r="B179" s="7">
        <v>8151.92</v>
      </c>
      <c r="C179" s="7">
        <v>8149.23</v>
      </c>
      <c r="D179" s="7">
        <v>8179.32</v>
      </c>
      <c r="E179" s="7">
        <v>8129.17</v>
      </c>
      <c r="F179" t="s">
        <v>318</v>
      </c>
      <c r="G179" s="8">
        <v>-3.3999999999999998E-3</v>
      </c>
    </row>
    <row r="180" spans="1:7" x14ac:dyDescent="0.25">
      <c r="A180" t="s">
        <v>319</v>
      </c>
      <c r="B180" s="7">
        <v>8179.72</v>
      </c>
      <c r="C180" s="7">
        <v>8228.7099999999991</v>
      </c>
      <c r="D180" s="7">
        <v>8229.25</v>
      </c>
      <c r="E180" s="7">
        <v>8139.52</v>
      </c>
      <c r="F180" t="s">
        <v>320</v>
      </c>
      <c r="G180" s="8">
        <v>2.2000000000000001E-3</v>
      </c>
    </row>
    <row r="181" spans="1:7" x14ac:dyDescent="0.25">
      <c r="A181" t="s">
        <v>321</v>
      </c>
      <c r="B181" s="7">
        <v>8161.41</v>
      </c>
      <c r="C181" s="7">
        <v>8149.71</v>
      </c>
      <c r="D181" s="7">
        <v>8168.23</v>
      </c>
      <c r="E181" s="7">
        <v>8125.65</v>
      </c>
      <c r="F181" t="s">
        <v>322</v>
      </c>
      <c r="G181" s="8">
        <v>-4.7999999999999996E-3</v>
      </c>
    </row>
    <row r="182" spans="1:7" x14ac:dyDescent="0.25">
      <c r="A182" t="s">
        <v>323</v>
      </c>
      <c r="B182" s="7">
        <v>8201.0499999999993</v>
      </c>
      <c r="C182" s="7">
        <v>8145.5</v>
      </c>
      <c r="D182" s="7">
        <v>8202.36</v>
      </c>
      <c r="E182" s="7">
        <v>8140.6</v>
      </c>
      <c r="F182" t="s">
        <v>324</v>
      </c>
      <c r="G182" s="8">
        <v>6.4999999999999997E-3</v>
      </c>
    </row>
    <row r="183" spans="1:7" x14ac:dyDescent="0.25">
      <c r="A183" t="s">
        <v>325</v>
      </c>
      <c r="B183" s="7">
        <v>8148.14</v>
      </c>
      <c r="C183" s="7">
        <v>8175.98</v>
      </c>
      <c r="D183" s="7">
        <v>8184.34</v>
      </c>
      <c r="E183" s="7">
        <v>8134.14</v>
      </c>
      <c r="F183" t="s">
        <v>326</v>
      </c>
      <c r="G183" s="8">
        <v>-2E-3</v>
      </c>
    </row>
    <row r="184" spans="1:7" x14ac:dyDescent="0.25">
      <c r="A184" t="s">
        <v>327</v>
      </c>
      <c r="B184" s="7">
        <v>8164.35</v>
      </c>
      <c r="C184" s="7">
        <v>8163.19</v>
      </c>
      <c r="D184" s="7">
        <v>8212.69</v>
      </c>
      <c r="E184" s="7">
        <v>8155.69</v>
      </c>
      <c r="F184" t="s">
        <v>328</v>
      </c>
      <c r="G184" s="8">
        <v>4.0000000000000002E-4</v>
      </c>
    </row>
    <row r="185" spans="1:7" x14ac:dyDescent="0.25">
      <c r="A185" t="s">
        <v>329</v>
      </c>
      <c r="B185" s="7">
        <v>8161.42</v>
      </c>
      <c r="C185" s="7">
        <v>8158.27</v>
      </c>
      <c r="D185" s="7">
        <v>8218.07</v>
      </c>
      <c r="E185" s="7">
        <v>8153.69</v>
      </c>
      <c r="F185" t="s">
        <v>330</v>
      </c>
      <c r="G185" s="8">
        <v>2.8999999999999998E-3</v>
      </c>
    </row>
    <row r="186" spans="1:7" x14ac:dyDescent="0.25">
      <c r="A186" t="s">
        <v>331</v>
      </c>
      <c r="B186" s="7">
        <v>8137.58</v>
      </c>
      <c r="C186" s="7">
        <v>8104.34</v>
      </c>
      <c r="D186" s="7">
        <v>8156.64</v>
      </c>
      <c r="E186" s="7">
        <v>8090.31</v>
      </c>
      <c r="F186" t="s">
        <v>332</v>
      </c>
      <c r="G186" s="8">
        <v>6.1999999999999998E-3</v>
      </c>
    </row>
    <row r="187" spans="1:7" x14ac:dyDescent="0.25">
      <c r="A187" s="9">
        <v>45629</v>
      </c>
      <c r="B187" s="7">
        <v>8087.48</v>
      </c>
      <c r="C187" s="7">
        <v>8052.16</v>
      </c>
      <c r="D187" s="7">
        <v>8094.07</v>
      </c>
      <c r="E187" s="7">
        <v>8000.23</v>
      </c>
      <c r="F187" t="s">
        <v>333</v>
      </c>
      <c r="G187" s="8">
        <v>8.3999999999999995E-3</v>
      </c>
    </row>
    <row r="188" spans="1:7" x14ac:dyDescent="0.25">
      <c r="A188" s="9">
        <v>45599</v>
      </c>
      <c r="B188" s="7">
        <v>8019.73</v>
      </c>
      <c r="C188" s="7">
        <v>7985.37</v>
      </c>
      <c r="D188" s="7">
        <v>8025.41</v>
      </c>
      <c r="E188" s="7">
        <v>7984.06</v>
      </c>
      <c r="F188" t="s">
        <v>334</v>
      </c>
      <c r="G188" s="8">
        <v>-1E-3</v>
      </c>
    </row>
    <row r="189" spans="1:7" x14ac:dyDescent="0.25">
      <c r="A189" s="9">
        <v>45507</v>
      </c>
      <c r="B189" s="7">
        <v>8028.01</v>
      </c>
      <c r="C189" s="7">
        <v>8018.1</v>
      </c>
      <c r="D189" s="7">
        <v>8048.09</v>
      </c>
      <c r="E189" s="7">
        <v>8008.04</v>
      </c>
      <c r="F189" t="s">
        <v>335</v>
      </c>
      <c r="G189" s="8">
        <v>1.5E-3</v>
      </c>
    </row>
    <row r="190" spans="1:7" x14ac:dyDescent="0.25">
      <c r="A190" s="9">
        <v>45476</v>
      </c>
      <c r="B190" s="7">
        <v>8016.22</v>
      </c>
      <c r="C190" s="7">
        <v>7925.41</v>
      </c>
      <c r="D190" s="7">
        <v>8029.37</v>
      </c>
      <c r="E190" s="7">
        <v>7905.41</v>
      </c>
      <c r="F190" t="s">
        <v>336</v>
      </c>
      <c r="G190" s="8">
        <v>7.7000000000000002E-3</v>
      </c>
    </row>
    <row r="191" spans="1:7" x14ac:dyDescent="0.25">
      <c r="A191" s="9">
        <v>45446</v>
      </c>
      <c r="B191" s="7">
        <v>7954.74</v>
      </c>
      <c r="C191" s="7">
        <v>7925.79</v>
      </c>
      <c r="D191" s="7">
        <v>7969.45</v>
      </c>
      <c r="E191" s="7">
        <v>7919.37</v>
      </c>
      <c r="F191" t="s">
        <v>337</v>
      </c>
      <c r="G191" s="8">
        <v>2.8E-3</v>
      </c>
    </row>
    <row r="192" spans="1:7" x14ac:dyDescent="0.25">
      <c r="A192" s="9">
        <v>45415</v>
      </c>
      <c r="B192" s="7">
        <v>7932.82</v>
      </c>
      <c r="C192" s="7">
        <v>7946.89</v>
      </c>
      <c r="D192" s="7">
        <v>7963.96</v>
      </c>
      <c r="E192" s="7">
        <v>7923.71</v>
      </c>
      <c r="F192" t="s">
        <v>338</v>
      </c>
      <c r="G192" s="8">
        <v>-3.0000000000000001E-3</v>
      </c>
    </row>
    <row r="193" spans="1:7" x14ac:dyDescent="0.25">
      <c r="A193" s="9">
        <v>45385</v>
      </c>
      <c r="B193" s="7">
        <v>7956.41</v>
      </c>
      <c r="C193" s="7">
        <v>7934.35</v>
      </c>
      <c r="D193" s="7">
        <v>7956.41</v>
      </c>
      <c r="E193" s="7">
        <v>7916.71</v>
      </c>
      <c r="F193" t="s">
        <v>339</v>
      </c>
      <c r="G193" s="8">
        <v>2.8E-3</v>
      </c>
    </row>
    <row r="194" spans="1:7" x14ac:dyDescent="0.25">
      <c r="A194" s="9">
        <v>45294</v>
      </c>
      <c r="B194" s="7">
        <v>7934.17</v>
      </c>
      <c r="C194" s="7">
        <v>7950.66</v>
      </c>
      <c r="D194" s="7">
        <v>7964.78</v>
      </c>
      <c r="E194" s="7">
        <v>7900.48</v>
      </c>
      <c r="F194" t="s">
        <v>340</v>
      </c>
      <c r="G194" s="8">
        <v>8.9999999999999998E-4</v>
      </c>
    </row>
    <row r="195" spans="1:7" x14ac:dyDescent="0.25">
      <c r="A195" t="s">
        <v>341</v>
      </c>
      <c r="B195" s="7">
        <v>7927.43</v>
      </c>
      <c r="C195" s="7">
        <v>7972.86</v>
      </c>
      <c r="D195" s="7">
        <v>7977.68</v>
      </c>
      <c r="E195" s="7">
        <v>7927.43</v>
      </c>
      <c r="F195" t="s">
        <v>342</v>
      </c>
      <c r="G195" s="8">
        <v>-3.3999999999999998E-3</v>
      </c>
    </row>
    <row r="196" spans="1:7" x14ac:dyDescent="0.25">
      <c r="A196" t="s">
        <v>343</v>
      </c>
      <c r="B196" s="7">
        <v>7954.39</v>
      </c>
      <c r="C196" s="7">
        <v>7947.23</v>
      </c>
      <c r="D196" s="7">
        <v>7956.73</v>
      </c>
      <c r="E196" s="7">
        <v>7931.67</v>
      </c>
      <c r="F196" t="s">
        <v>344</v>
      </c>
      <c r="G196" s="8">
        <v>8.0000000000000004E-4</v>
      </c>
    </row>
    <row r="197" spans="1:7" x14ac:dyDescent="0.25">
      <c r="A197" t="s">
        <v>345</v>
      </c>
      <c r="B197" s="7">
        <v>7948.4</v>
      </c>
      <c r="C197" s="7">
        <v>7926.68</v>
      </c>
      <c r="D197" s="7">
        <v>7955.48</v>
      </c>
      <c r="E197" s="7">
        <v>7917.08</v>
      </c>
      <c r="F197" t="s">
        <v>346</v>
      </c>
      <c r="G197" s="8">
        <v>2.3E-3</v>
      </c>
    </row>
    <row r="198" spans="1:7" x14ac:dyDescent="0.25">
      <c r="A198" t="s">
        <v>347</v>
      </c>
      <c r="B198" s="7">
        <v>7929.82</v>
      </c>
      <c r="C198" s="7">
        <v>7950.15</v>
      </c>
      <c r="D198" s="7">
        <v>7953.15</v>
      </c>
      <c r="E198" s="7">
        <v>7922.89</v>
      </c>
      <c r="F198" t="s">
        <v>348</v>
      </c>
      <c r="G198" s="8">
        <v>-4.5999999999999999E-3</v>
      </c>
    </row>
    <row r="199" spans="1:7" x14ac:dyDescent="0.25">
      <c r="A199" t="s">
        <v>349</v>
      </c>
      <c r="B199" s="7">
        <v>7966.68</v>
      </c>
      <c r="C199" s="7">
        <v>7921.95</v>
      </c>
      <c r="D199" s="7">
        <v>7976.4</v>
      </c>
      <c r="E199" s="7">
        <v>7907.84</v>
      </c>
      <c r="F199" t="s">
        <v>350</v>
      </c>
      <c r="G199" s="8">
        <v>7.0000000000000001E-3</v>
      </c>
    </row>
    <row r="200" spans="1:7" x14ac:dyDescent="0.25">
      <c r="A200" t="s">
        <v>351</v>
      </c>
      <c r="B200" s="7">
        <v>7911.6</v>
      </c>
      <c r="C200" s="7">
        <v>7875.88</v>
      </c>
      <c r="D200" s="7">
        <v>7923.96</v>
      </c>
      <c r="E200" s="7">
        <v>7855.01</v>
      </c>
      <c r="F200" t="s">
        <v>352</v>
      </c>
      <c r="G200" s="8">
        <v>1.2699999999999999E-2</v>
      </c>
    </row>
    <row r="201" spans="1:7" x14ac:dyDescent="0.25">
      <c r="A201" t="s">
        <v>353</v>
      </c>
      <c r="B201" s="7">
        <v>7812.09</v>
      </c>
      <c r="C201" s="7">
        <v>7802.04</v>
      </c>
      <c r="D201" s="7">
        <v>7821.93</v>
      </c>
      <c r="E201" s="7">
        <v>7788.68</v>
      </c>
      <c r="F201" t="s">
        <v>354</v>
      </c>
      <c r="G201" s="8">
        <v>2.2000000000000001E-3</v>
      </c>
    </row>
    <row r="202" spans="1:7" x14ac:dyDescent="0.25">
      <c r="A202" t="s">
        <v>355</v>
      </c>
      <c r="B202" s="7">
        <v>7795.22</v>
      </c>
      <c r="C202" s="7">
        <v>7764.5</v>
      </c>
      <c r="D202" s="7">
        <v>7804.54</v>
      </c>
      <c r="E202" s="7">
        <v>7757.49</v>
      </c>
      <c r="F202" t="s">
        <v>356</v>
      </c>
      <c r="G202" s="8">
        <v>3.3999999999999998E-3</v>
      </c>
    </row>
    <row r="203" spans="1:7" x14ac:dyDescent="0.25">
      <c r="A203" t="s">
        <v>357</v>
      </c>
      <c r="B203" s="7">
        <v>7768.55</v>
      </c>
      <c r="C203" s="7">
        <v>7742.87</v>
      </c>
      <c r="D203" s="7">
        <v>7769.13</v>
      </c>
      <c r="E203" s="7">
        <v>7727.96</v>
      </c>
      <c r="F203" t="s">
        <v>358</v>
      </c>
      <c r="G203" s="8">
        <v>0</v>
      </c>
    </row>
    <row r="204" spans="1:7" x14ac:dyDescent="0.25">
      <c r="A204" t="s">
        <v>359</v>
      </c>
      <c r="B204" s="7">
        <v>7768.18</v>
      </c>
      <c r="C204" s="7">
        <v>7774.39</v>
      </c>
      <c r="D204" s="7">
        <v>7800.91</v>
      </c>
      <c r="E204" s="7">
        <v>7756.58</v>
      </c>
      <c r="F204" t="s">
        <v>330</v>
      </c>
      <c r="G204" s="8">
        <v>3.2000000000000002E-3</v>
      </c>
    </row>
    <row r="205" spans="1:7" x14ac:dyDescent="0.25">
      <c r="A205" t="s">
        <v>360</v>
      </c>
      <c r="B205" s="7">
        <v>7743.42</v>
      </c>
      <c r="C205" s="7">
        <v>7724.49</v>
      </c>
      <c r="D205" s="7">
        <v>7752.35</v>
      </c>
      <c r="E205" s="7">
        <v>7724.49</v>
      </c>
      <c r="F205" t="s">
        <v>361</v>
      </c>
      <c r="G205" s="8">
        <v>8.6E-3</v>
      </c>
    </row>
    <row r="206" spans="1:7" x14ac:dyDescent="0.25">
      <c r="A206" t="s">
        <v>362</v>
      </c>
      <c r="B206" s="7">
        <v>7677.35</v>
      </c>
      <c r="C206" s="7">
        <v>7610.06</v>
      </c>
      <c r="D206" s="7">
        <v>7681.03</v>
      </c>
      <c r="E206" s="7">
        <v>7610.06</v>
      </c>
      <c r="F206" t="s">
        <v>363</v>
      </c>
      <c r="G206" s="8">
        <v>6.7999999999999996E-3</v>
      </c>
    </row>
    <row r="207" spans="1:7" x14ac:dyDescent="0.25">
      <c r="A207" t="s">
        <v>364</v>
      </c>
      <c r="B207" s="7">
        <v>7625.31</v>
      </c>
      <c r="C207" s="7">
        <v>7689.05</v>
      </c>
      <c r="D207" s="7">
        <v>7691.19</v>
      </c>
      <c r="E207" s="7">
        <v>7598.02</v>
      </c>
      <c r="F207" t="s">
        <v>365</v>
      </c>
      <c r="G207" s="8">
        <v>-8.3999999999999995E-3</v>
      </c>
    </row>
    <row r="208" spans="1:7" x14ac:dyDescent="0.25">
      <c r="A208" s="9">
        <v>45628</v>
      </c>
      <c r="B208" s="7">
        <v>7689.8</v>
      </c>
      <c r="C208" s="7">
        <v>7674.14</v>
      </c>
      <c r="D208" s="7">
        <v>7693.08</v>
      </c>
      <c r="E208" s="7">
        <v>7663.38</v>
      </c>
      <c r="F208" t="s">
        <v>366</v>
      </c>
      <c r="G208" s="8">
        <v>5.4999999999999997E-3</v>
      </c>
    </row>
    <row r="209" spans="1:7" x14ac:dyDescent="0.25">
      <c r="A209" s="9">
        <v>45537</v>
      </c>
      <c r="B209" s="7">
        <v>7647.52</v>
      </c>
      <c r="C209" s="7">
        <v>7652.45</v>
      </c>
      <c r="D209" s="7">
        <v>7668.19</v>
      </c>
      <c r="E209" s="7">
        <v>7617.74</v>
      </c>
      <c r="F209" t="s">
        <v>367</v>
      </c>
      <c r="G209" s="8">
        <v>-2.3999999999999998E-3</v>
      </c>
    </row>
    <row r="210" spans="1:7" x14ac:dyDescent="0.25">
      <c r="A210" s="9">
        <v>45506</v>
      </c>
      <c r="B210" s="7">
        <v>7665.63</v>
      </c>
      <c r="C210" s="7">
        <v>7628.6</v>
      </c>
      <c r="D210" s="7">
        <v>7685.46</v>
      </c>
      <c r="E210" s="7">
        <v>7607.46</v>
      </c>
      <c r="F210" t="s">
        <v>368</v>
      </c>
      <c r="G210" s="8">
        <v>7.1000000000000004E-3</v>
      </c>
    </row>
    <row r="211" spans="1:7" x14ac:dyDescent="0.25">
      <c r="A211" s="9">
        <v>45475</v>
      </c>
      <c r="B211" s="7">
        <v>7611.26</v>
      </c>
      <c r="C211" s="7">
        <v>7632.84</v>
      </c>
      <c r="D211" s="7">
        <v>7652.85</v>
      </c>
      <c r="E211" s="7">
        <v>7610.18</v>
      </c>
      <c r="F211" t="s">
        <v>87</v>
      </c>
      <c r="G211" s="8">
        <v>-3.5999999999999999E-3</v>
      </c>
    </row>
    <row r="212" spans="1:7" x14ac:dyDescent="0.25">
      <c r="A212" s="9">
        <v>45445</v>
      </c>
      <c r="B212" s="7">
        <v>7638.97</v>
      </c>
      <c r="C212" s="7">
        <v>7634.19</v>
      </c>
      <c r="D212" s="7">
        <v>7641.63</v>
      </c>
      <c r="E212" s="7">
        <v>7592.09</v>
      </c>
      <c r="F212" t="s">
        <v>369</v>
      </c>
      <c r="G212" s="8">
        <v>6.4999999999999997E-3</v>
      </c>
    </row>
    <row r="213" spans="1:7" x14ac:dyDescent="0.25">
      <c r="A213" s="9">
        <v>45414</v>
      </c>
      <c r="B213" s="7">
        <v>7589.96</v>
      </c>
      <c r="C213" s="7">
        <v>7591.77</v>
      </c>
      <c r="D213" s="7">
        <v>7606.12</v>
      </c>
      <c r="E213" s="7">
        <v>7558.23</v>
      </c>
      <c r="F213" t="s">
        <v>370</v>
      </c>
      <c r="G213" s="8">
        <v>-2.9999999999999997E-4</v>
      </c>
    </row>
    <row r="214" spans="1:7" x14ac:dyDescent="0.25">
      <c r="A214" s="9">
        <v>45324</v>
      </c>
      <c r="B214" s="7">
        <v>7592.26</v>
      </c>
      <c r="C214" s="7">
        <v>7624.45</v>
      </c>
      <c r="D214" s="7">
        <v>7644.13</v>
      </c>
      <c r="E214" s="7">
        <v>7588.5</v>
      </c>
      <c r="F214" t="s">
        <v>371</v>
      </c>
      <c r="G214" s="8">
        <v>5.0000000000000001E-4</v>
      </c>
    </row>
    <row r="215" spans="1:7" x14ac:dyDescent="0.25">
      <c r="A215" s="9">
        <v>45293</v>
      </c>
      <c r="B215" s="7">
        <v>7588.75</v>
      </c>
      <c r="C215" s="7">
        <v>7590.15</v>
      </c>
      <c r="D215" s="7">
        <v>7620.93</v>
      </c>
      <c r="E215" s="7">
        <v>7570.07</v>
      </c>
      <c r="F215" t="s">
        <v>372</v>
      </c>
      <c r="G215" s="8">
        <v>-8.8999999999999999E-3</v>
      </c>
    </row>
    <row r="216" spans="1:7" x14ac:dyDescent="0.25">
      <c r="A216" t="s">
        <v>373</v>
      </c>
      <c r="B216" s="7">
        <v>7656.75</v>
      </c>
      <c r="C216" s="7">
        <v>7691.66</v>
      </c>
      <c r="D216" s="7">
        <v>7702.95</v>
      </c>
      <c r="E216" s="7">
        <v>7653.45</v>
      </c>
      <c r="F216" t="s">
        <v>374</v>
      </c>
      <c r="G216" s="8">
        <v>-2.7000000000000001E-3</v>
      </c>
    </row>
    <row r="217" spans="1:7" x14ac:dyDescent="0.25">
      <c r="A217" t="s">
        <v>375</v>
      </c>
      <c r="B217" s="7">
        <v>7677.47</v>
      </c>
      <c r="C217" s="7">
        <v>7660.65</v>
      </c>
      <c r="D217" s="7">
        <v>7686.03</v>
      </c>
      <c r="E217" s="7">
        <v>7644.73</v>
      </c>
      <c r="F217" t="s">
        <v>376</v>
      </c>
      <c r="G217" s="8">
        <v>4.7999999999999996E-3</v>
      </c>
    </row>
    <row r="218" spans="1:7" x14ac:dyDescent="0.25">
      <c r="A218" t="s">
        <v>377</v>
      </c>
      <c r="B218" s="7">
        <v>7640.81</v>
      </c>
      <c r="C218" s="7">
        <v>7643.04</v>
      </c>
      <c r="D218" s="7">
        <v>7649.19</v>
      </c>
      <c r="E218" s="7">
        <v>7620.53</v>
      </c>
      <c r="F218" t="s">
        <v>378</v>
      </c>
      <c r="G218" s="8">
        <v>8.9999999999999998E-4</v>
      </c>
    </row>
    <row r="219" spans="1:7" x14ac:dyDescent="0.25">
      <c r="A219" t="s">
        <v>379</v>
      </c>
      <c r="B219" s="7">
        <v>7634.14</v>
      </c>
      <c r="C219" s="7">
        <v>7555.05</v>
      </c>
      <c r="D219" s="7">
        <v>7645.74</v>
      </c>
      <c r="E219" s="7">
        <v>7553.65</v>
      </c>
      <c r="F219" t="s">
        <v>380</v>
      </c>
      <c r="G219" s="8">
        <v>2.2800000000000001E-2</v>
      </c>
    </row>
    <row r="220" spans="1:7" x14ac:dyDescent="0.25">
      <c r="A220" t="s">
        <v>381</v>
      </c>
      <c r="B220" s="7">
        <v>7464.2</v>
      </c>
      <c r="C220" s="7">
        <v>7448.05</v>
      </c>
      <c r="D220" s="7">
        <v>7466.27</v>
      </c>
      <c r="E220" s="7">
        <v>7410.89</v>
      </c>
      <c r="F220" t="s">
        <v>382</v>
      </c>
      <c r="G220" s="8">
        <v>1.1000000000000001E-3</v>
      </c>
    </row>
    <row r="221" spans="1:7" x14ac:dyDescent="0.25">
      <c r="A221" t="s">
        <v>383</v>
      </c>
      <c r="B221" s="7">
        <v>7455.64</v>
      </c>
      <c r="C221" s="7">
        <v>7414.76</v>
      </c>
      <c r="D221" s="7">
        <v>7466.92</v>
      </c>
      <c r="E221" s="7">
        <v>7403.87</v>
      </c>
      <c r="F221" t="s">
        <v>384</v>
      </c>
      <c r="G221" s="8">
        <v>9.1000000000000004E-3</v>
      </c>
    </row>
    <row r="222" spans="1:7" x14ac:dyDescent="0.25">
      <c r="A222" t="s">
        <v>385</v>
      </c>
      <c r="B222" s="7">
        <v>7388.04</v>
      </c>
      <c r="C222" s="7">
        <v>7449.38</v>
      </c>
      <c r="D222" s="7">
        <v>7449.38</v>
      </c>
      <c r="E222" s="7">
        <v>7373.22</v>
      </c>
      <c r="F222" t="s">
        <v>386</v>
      </c>
      <c r="G222" s="8">
        <v>-3.3999999999999998E-3</v>
      </c>
    </row>
    <row r="223" spans="1:7" x14ac:dyDescent="0.25">
      <c r="A223" t="s">
        <v>387</v>
      </c>
      <c r="B223" s="7">
        <v>7413.25</v>
      </c>
      <c r="C223" s="7">
        <v>7436.61</v>
      </c>
      <c r="D223" s="7">
        <v>7453.21</v>
      </c>
      <c r="E223" s="7">
        <v>7390.68</v>
      </c>
      <c r="F223" t="s">
        <v>388</v>
      </c>
      <c r="G223" s="8">
        <v>5.5999999999999999E-3</v>
      </c>
    </row>
    <row r="224" spans="1:7" x14ac:dyDescent="0.25">
      <c r="A224" t="s">
        <v>389</v>
      </c>
      <c r="B224" s="7">
        <v>7371.64</v>
      </c>
      <c r="C224" s="7">
        <v>7446.82</v>
      </c>
      <c r="D224" s="7">
        <v>7446.82</v>
      </c>
      <c r="E224" s="7">
        <v>7350.68</v>
      </c>
      <c r="F224" t="s">
        <v>390</v>
      </c>
      <c r="G224" s="8">
        <v>-4.0000000000000001E-3</v>
      </c>
    </row>
    <row r="225" spans="1:7" x14ac:dyDescent="0.25">
      <c r="A225" t="s">
        <v>391</v>
      </c>
      <c r="B225" s="7">
        <v>7401.35</v>
      </c>
      <c r="C225" s="7">
        <v>7346.71</v>
      </c>
      <c r="D225" s="7">
        <v>7409.64</v>
      </c>
      <c r="E225" s="7">
        <v>7326.45</v>
      </c>
      <c r="F225" t="s">
        <v>392</v>
      </c>
      <c r="G225" s="8">
        <v>1.1299999999999999E-2</v>
      </c>
    </row>
    <row r="226" spans="1:7" x14ac:dyDescent="0.25">
      <c r="A226" t="s">
        <v>393</v>
      </c>
      <c r="B226" s="7">
        <v>7318.69</v>
      </c>
      <c r="C226" s="7">
        <v>7313.26</v>
      </c>
      <c r="D226" s="7">
        <v>7323.25</v>
      </c>
      <c r="E226" s="7">
        <v>7281.1</v>
      </c>
      <c r="F226" t="s">
        <v>394</v>
      </c>
      <c r="G226" s="8">
        <v>-1.0699999999999999E-2</v>
      </c>
    </row>
    <row r="227" spans="1:7" x14ac:dyDescent="0.25">
      <c r="A227" t="s">
        <v>395</v>
      </c>
      <c r="B227" s="7">
        <v>7398</v>
      </c>
      <c r="C227" s="7">
        <v>7364.11</v>
      </c>
      <c r="D227" s="7">
        <v>7399.29</v>
      </c>
      <c r="E227" s="7">
        <v>7343.52</v>
      </c>
      <c r="F227" t="s">
        <v>396</v>
      </c>
      <c r="G227" s="8">
        <v>-1.8E-3</v>
      </c>
    </row>
    <row r="228" spans="1:7" x14ac:dyDescent="0.25">
      <c r="A228" t="s">
        <v>397</v>
      </c>
      <c r="B228" s="7">
        <v>7411.68</v>
      </c>
      <c r="C228" s="7">
        <v>7467.8</v>
      </c>
      <c r="D228" s="7">
        <v>7479.27</v>
      </c>
      <c r="E228" s="7">
        <v>7401.07</v>
      </c>
      <c r="F228" t="s">
        <v>398</v>
      </c>
      <c r="G228" s="8">
        <v>-7.1999999999999998E-3</v>
      </c>
    </row>
    <row r="229" spans="1:7" x14ac:dyDescent="0.25">
      <c r="A229" s="9">
        <v>45627</v>
      </c>
      <c r="B229" s="7">
        <v>7465.14</v>
      </c>
      <c r="C229" s="7">
        <v>7412.68</v>
      </c>
      <c r="D229" s="7">
        <v>7478.66</v>
      </c>
      <c r="E229" s="7">
        <v>7408.46</v>
      </c>
      <c r="F229" t="s">
        <v>399</v>
      </c>
      <c r="G229" s="8">
        <v>1.0500000000000001E-2</v>
      </c>
    </row>
    <row r="230" spans="1:7" x14ac:dyDescent="0.25">
      <c r="A230" s="9">
        <v>45597</v>
      </c>
      <c r="B230" s="7">
        <v>7387.62</v>
      </c>
      <c r="C230" s="7">
        <v>7466.11</v>
      </c>
      <c r="D230" s="7">
        <v>7479.42</v>
      </c>
      <c r="E230" s="7">
        <v>7382.88</v>
      </c>
      <c r="F230" t="s">
        <v>400</v>
      </c>
      <c r="G230" s="8">
        <v>-5.1999999999999998E-3</v>
      </c>
    </row>
    <row r="231" spans="1:7" x14ac:dyDescent="0.25">
      <c r="A231" s="9">
        <v>45566</v>
      </c>
      <c r="B231" s="7">
        <v>7426.08</v>
      </c>
      <c r="C231" s="7">
        <v>7428.26</v>
      </c>
      <c r="D231" s="7">
        <v>7454.32</v>
      </c>
      <c r="E231" s="7">
        <v>7409.53</v>
      </c>
      <c r="F231" t="s">
        <v>401</v>
      </c>
      <c r="G231" s="8">
        <v>-1E-4</v>
      </c>
    </row>
    <row r="232" spans="1:7" x14ac:dyDescent="0.25">
      <c r="A232" s="9">
        <v>45536</v>
      </c>
      <c r="B232" s="7">
        <v>7426.62</v>
      </c>
      <c r="C232" s="7">
        <v>7457.26</v>
      </c>
      <c r="D232" s="7">
        <v>7460.18</v>
      </c>
      <c r="E232" s="7">
        <v>7400.62</v>
      </c>
      <c r="F232" t="s">
        <v>402</v>
      </c>
      <c r="G232" s="8">
        <v>-3.2000000000000002E-3</v>
      </c>
    </row>
    <row r="233" spans="1:7" x14ac:dyDescent="0.25">
      <c r="A233" s="9">
        <v>45505</v>
      </c>
      <c r="B233" s="7">
        <v>7450.24</v>
      </c>
      <c r="C233" s="7">
        <v>7406.24</v>
      </c>
      <c r="D233" s="7">
        <v>7451.17</v>
      </c>
      <c r="E233" s="7">
        <v>7376.2</v>
      </c>
      <c r="F233" t="s">
        <v>403</v>
      </c>
      <c r="G233" s="8">
        <v>4.0000000000000001E-3</v>
      </c>
    </row>
    <row r="234" spans="1:7" x14ac:dyDescent="0.25">
      <c r="A234" s="9">
        <v>45413</v>
      </c>
      <c r="B234" s="7">
        <v>7420.69</v>
      </c>
      <c r="C234" s="7">
        <v>7398.4</v>
      </c>
      <c r="D234" s="7">
        <v>7441.1</v>
      </c>
      <c r="E234" s="7">
        <v>7350.3</v>
      </c>
      <c r="F234" t="s">
        <v>404</v>
      </c>
      <c r="G234" s="8">
        <v>-4.0000000000000001E-3</v>
      </c>
    </row>
    <row r="235" spans="1:7" x14ac:dyDescent="0.25">
      <c r="A235" s="9">
        <v>45383</v>
      </c>
      <c r="B235" s="7">
        <v>7450.63</v>
      </c>
      <c r="C235" s="7">
        <v>7419.85</v>
      </c>
      <c r="D235" s="7">
        <v>7455.37</v>
      </c>
      <c r="E235" s="7">
        <v>7410.18</v>
      </c>
      <c r="F235" t="s">
        <v>405</v>
      </c>
      <c r="G235" s="8">
        <v>5.1999999999999998E-3</v>
      </c>
    </row>
    <row r="236" spans="1:7" x14ac:dyDescent="0.25">
      <c r="A236" s="9">
        <v>45352</v>
      </c>
      <c r="B236" s="7">
        <v>7411.86</v>
      </c>
      <c r="C236" s="7">
        <v>7522.81</v>
      </c>
      <c r="D236" s="7">
        <v>7532.6</v>
      </c>
      <c r="E236" s="7">
        <v>7380.06</v>
      </c>
      <c r="F236" t="s">
        <v>406</v>
      </c>
      <c r="G236" s="8">
        <v>-1.5800000000000002E-2</v>
      </c>
    </row>
    <row r="237" spans="1:7" x14ac:dyDescent="0.25">
      <c r="A237" s="9">
        <v>45323</v>
      </c>
      <c r="B237" s="7">
        <v>7530.86</v>
      </c>
      <c r="C237" s="7">
        <v>7577.33</v>
      </c>
      <c r="D237" s="7">
        <v>7610.1</v>
      </c>
      <c r="E237" s="7">
        <v>7482.06</v>
      </c>
      <c r="F237" t="s">
        <v>407</v>
      </c>
      <c r="G237" s="8">
        <v>-1.6000000000000001E-3</v>
      </c>
    </row>
    <row r="238" spans="1:7" x14ac:dyDescent="0.25">
      <c r="A238" t="s">
        <v>408</v>
      </c>
      <c r="B238" s="7">
        <v>7543.18</v>
      </c>
      <c r="C238" s="7">
        <v>7547.53</v>
      </c>
      <c r="D238" s="7">
        <v>7569.92</v>
      </c>
      <c r="E238" s="7">
        <v>7530.93</v>
      </c>
      <c r="F238" t="s">
        <v>409</v>
      </c>
      <c r="G238" s="8">
        <v>1.1000000000000001E-3</v>
      </c>
    </row>
    <row r="239" spans="1:7" x14ac:dyDescent="0.25">
      <c r="A239" t="s">
        <v>410</v>
      </c>
      <c r="B239" s="7">
        <v>7535.16</v>
      </c>
      <c r="C239" s="7">
        <v>7591.85</v>
      </c>
      <c r="D239" s="7">
        <v>7593.96</v>
      </c>
      <c r="E239" s="7">
        <v>7531.71</v>
      </c>
      <c r="F239" t="s">
        <v>411</v>
      </c>
      <c r="G239" s="8">
        <v>-4.7999999999999996E-3</v>
      </c>
    </row>
    <row r="240" spans="1:7" x14ac:dyDescent="0.25">
      <c r="A240" t="s">
        <v>412</v>
      </c>
      <c r="B240" s="7">
        <v>7571.82</v>
      </c>
      <c r="C240" s="7">
        <v>7580.97</v>
      </c>
      <c r="D240" s="7">
        <v>7603.27</v>
      </c>
      <c r="E240" s="7">
        <v>7560.54</v>
      </c>
      <c r="F240" t="s">
        <v>413</v>
      </c>
      <c r="G240" s="8">
        <v>4.0000000000000002E-4</v>
      </c>
    </row>
    <row r="241" spans="1:7" x14ac:dyDescent="0.25">
      <c r="A241" t="s">
        <v>414</v>
      </c>
      <c r="B241" s="7">
        <v>7568.82</v>
      </c>
      <c r="C241" s="7">
        <v>7560.97</v>
      </c>
      <c r="D241" s="7">
        <v>7589</v>
      </c>
      <c r="E241" s="7">
        <v>7557.58</v>
      </c>
      <c r="F241" t="s">
        <v>415</v>
      </c>
      <c r="G241" s="8">
        <v>-2.9999999999999997E-4</v>
      </c>
    </row>
    <row r="242" spans="1:7" x14ac:dyDescent="0.25">
      <c r="A242" t="s">
        <v>416</v>
      </c>
      <c r="B242" s="7">
        <v>7571.4</v>
      </c>
      <c r="C242" s="7">
        <v>7557.16</v>
      </c>
      <c r="D242" s="7">
        <v>7574.71</v>
      </c>
      <c r="E242" s="7">
        <v>7537.81</v>
      </c>
      <c r="F242" t="s">
        <v>417</v>
      </c>
      <c r="G242" s="8">
        <v>-1.6000000000000001E-3</v>
      </c>
    </row>
    <row r="243" spans="1:7" x14ac:dyDescent="0.25">
      <c r="A243" t="s">
        <v>418</v>
      </c>
      <c r="B243" s="7">
        <v>7583.43</v>
      </c>
      <c r="C243" s="7">
        <v>7595.25</v>
      </c>
      <c r="D243" s="7">
        <v>7604.96</v>
      </c>
      <c r="E243" s="7">
        <v>7552.29</v>
      </c>
      <c r="F243" t="s">
        <v>419</v>
      </c>
      <c r="G243" s="8">
        <v>1.1999999999999999E-3</v>
      </c>
    </row>
    <row r="244" spans="1:7" x14ac:dyDescent="0.25">
      <c r="A244" t="s">
        <v>420</v>
      </c>
      <c r="B244" s="7">
        <v>7574.67</v>
      </c>
      <c r="C244" s="7">
        <v>7560.57</v>
      </c>
      <c r="D244" s="7">
        <v>7579.86</v>
      </c>
      <c r="E244" s="7">
        <v>7553.08</v>
      </c>
      <c r="F244" t="s">
        <v>421</v>
      </c>
      <c r="G244" s="8">
        <v>8.0000000000000004E-4</v>
      </c>
    </row>
    <row r="245" spans="1:7" x14ac:dyDescent="0.25">
      <c r="A245" t="s">
        <v>422</v>
      </c>
      <c r="B245" s="7">
        <v>7568.86</v>
      </c>
      <c r="C245" s="7">
        <v>7563.31</v>
      </c>
      <c r="D245" s="7">
        <v>7580.64</v>
      </c>
      <c r="E245" s="7">
        <v>7548.18</v>
      </c>
      <c r="F245" t="s">
        <v>423</v>
      </c>
      <c r="G245" s="8">
        <v>-3.7000000000000002E-3</v>
      </c>
    </row>
    <row r="246" spans="1:7" x14ac:dyDescent="0.25">
      <c r="A246" t="s">
        <v>424</v>
      </c>
      <c r="B246" s="7">
        <v>7596.91</v>
      </c>
      <c r="C246" s="7">
        <v>7607.92</v>
      </c>
      <c r="D246" s="7">
        <v>7641.91</v>
      </c>
      <c r="E246" s="7">
        <v>7587.68</v>
      </c>
      <c r="F246" t="s">
        <v>425</v>
      </c>
      <c r="G246" s="8">
        <v>2.8E-3</v>
      </c>
    </row>
    <row r="247" spans="1:7" x14ac:dyDescent="0.25">
      <c r="A247" t="s">
        <v>426</v>
      </c>
      <c r="B247" s="7">
        <v>7575.85</v>
      </c>
      <c r="C247" s="7">
        <v>7626.54</v>
      </c>
      <c r="D247" s="7">
        <v>7653.99</v>
      </c>
      <c r="E247" s="7">
        <v>7547</v>
      </c>
      <c r="F247" t="s">
        <v>427</v>
      </c>
      <c r="G247" s="8">
        <v>5.8999999999999999E-3</v>
      </c>
    </row>
    <row r="248" spans="1:7" x14ac:dyDescent="0.25">
      <c r="A248" t="s">
        <v>428</v>
      </c>
      <c r="B248" s="7">
        <v>7531.22</v>
      </c>
      <c r="C248" s="7">
        <v>7542.1</v>
      </c>
      <c r="D248" s="7">
        <v>7579.25</v>
      </c>
      <c r="E248" s="7">
        <v>7529.11</v>
      </c>
      <c r="F248" t="s">
        <v>429</v>
      </c>
      <c r="G248" s="8">
        <v>-1.6000000000000001E-3</v>
      </c>
    </row>
    <row r="249" spans="1:7" x14ac:dyDescent="0.25">
      <c r="A249" s="9">
        <v>45272</v>
      </c>
      <c r="B249" s="7">
        <v>7543.55</v>
      </c>
      <c r="C249" s="7">
        <v>7557.32</v>
      </c>
      <c r="D249" s="7">
        <v>7582.47</v>
      </c>
      <c r="E249" s="7">
        <v>7542.53</v>
      </c>
      <c r="F249" t="s">
        <v>199</v>
      </c>
      <c r="G249" s="8">
        <v>-1.1000000000000001E-3</v>
      </c>
    </row>
    <row r="250" spans="1:7" x14ac:dyDescent="0.25">
      <c r="A250" s="9">
        <v>45242</v>
      </c>
      <c r="B250" s="7">
        <v>7551.53</v>
      </c>
      <c r="C250" s="7">
        <v>7534.23</v>
      </c>
      <c r="D250" s="7">
        <v>7559.95</v>
      </c>
      <c r="E250" s="7">
        <v>7527.58</v>
      </c>
      <c r="F250" t="s">
        <v>430</v>
      </c>
      <c r="G250" s="8">
        <v>3.3E-3</v>
      </c>
    </row>
    <row r="251" spans="1:7" x14ac:dyDescent="0.25">
      <c r="A251" s="9">
        <v>45150</v>
      </c>
      <c r="B251" s="7">
        <v>7526.55</v>
      </c>
      <c r="C251" s="7">
        <v>7441</v>
      </c>
      <c r="D251" s="7">
        <v>7545.68</v>
      </c>
      <c r="E251" s="7">
        <v>7437.97</v>
      </c>
      <c r="F251" t="s">
        <v>431</v>
      </c>
      <c r="G251" s="8">
        <v>1.32E-2</v>
      </c>
    </row>
    <row r="252" spans="1:7" x14ac:dyDescent="0.25">
      <c r="A252" s="9">
        <v>45119</v>
      </c>
      <c r="B252" s="7">
        <v>7428.52</v>
      </c>
      <c r="C252" s="7">
        <v>7424.82</v>
      </c>
      <c r="D252" s="7">
        <v>7436.95</v>
      </c>
      <c r="E252" s="7">
        <v>7415.66</v>
      </c>
      <c r="F252" t="s">
        <v>432</v>
      </c>
      <c r="G252" s="8">
        <v>-1E-3</v>
      </c>
    </row>
    <row r="253" spans="1:7" x14ac:dyDescent="0.25">
      <c r="A253" s="9">
        <v>45089</v>
      </c>
      <c r="B253" s="7">
        <v>7435.99</v>
      </c>
      <c r="C253" s="7">
        <v>7400.21</v>
      </c>
      <c r="D253" s="7">
        <v>7455</v>
      </c>
      <c r="E253" s="7">
        <v>7384.99</v>
      </c>
      <c r="F253" t="s">
        <v>433</v>
      </c>
      <c r="G253" s="8">
        <v>6.6E-3</v>
      </c>
    </row>
    <row r="254" spans="1:7" x14ac:dyDescent="0.25">
      <c r="A254" s="9">
        <v>45058</v>
      </c>
      <c r="B254" s="7">
        <v>7386.99</v>
      </c>
      <c r="C254" s="7">
        <v>7320.49</v>
      </c>
      <c r="D254" s="7">
        <v>7392.64</v>
      </c>
      <c r="E254" s="7">
        <v>7320.49</v>
      </c>
      <c r="F254" t="s">
        <v>434</v>
      </c>
      <c r="G254" s="8">
        <v>7.4000000000000003E-3</v>
      </c>
    </row>
    <row r="255" spans="1:7" x14ac:dyDescent="0.25">
      <c r="A255" s="9">
        <v>45028</v>
      </c>
      <c r="B255" s="7">
        <v>7332.59</v>
      </c>
      <c r="C255" s="7">
        <v>7331.8</v>
      </c>
      <c r="D255" s="7">
        <v>7354.32</v>
      </c>
      <c r="E255" s="7">
        <v>7313.71</v>
      </c>
      <c r="F255" t="s">
        <v>435</v>
      </c>
      <c r="G255" s="8">
        <v>-1.8E-3</v>
      </c>
    </row>
    <row r="256" spans="1:7" x14ac:dyDescent="0.25">
      <c r="A256" s="9">
        <v>44938</v>
      </c>
      <c r="B256" s="7">
        <v>7346.15</v>
      </c>
      <c r="C256" s="7">
        <v>7336.55</v>
      </c>
      <c r="D256" s="7">
        <v>7360.1</v>
      </c>
      <c r="E256" s="7">
        <v>7313.19</v>
      </c>
      <c r="F256" t="s">
        <v>436</v>
      </c>
      <c r="G256" s="8">
        <v>4.7999999999999996E-3</v>
      </c>
    </row>
    <row r="257" spans="1:7" x14ac:dyDescent="0.25">
      <c r="A257" t="s">
        <v>437</v>
      </c>
      <c r="B257" s="7">
        <v>7310.77</v>
      </c>
      <c r="C257" s="7">
        <v>7276.87</v>
      </c>
      <c r="D257" s="7">
        <v>7321.47</v>
      </c>
      <c r="E257" s="7">
        <v>7255.04</v>
      </c>
      <c r="F257" t="s">
        <v>438</v>
      </c>
      <c r="G257" s="8">
        <v>5.8999999999999999E-3</v>
      </c>
    </row>
    <row r="258" spans="1:7" x14ac:dyDescent="0.25">
      <c r="A258" t="s">
        <v>439</v>
      </c>
      <c r="B258" s="7">
        <v>7267.64</v>
      </c>
      <c r="C258" s="7">
        <v>7241.41</v>
      </c>
      <c r="D258" s="7">
        <v>7296.4</v>
      </c>
      <c r="E258" s="7">
        <v>7241.41</v>
      </c>
      <c r="F258" t="s">
        <v>440</v>
      </c>
      <c r="G258" s="8">
        <v>2.3999999999999998E-3</v>
      </c>
    </row>
    <row r="259" spans="1:7" x14ac:dyDescent="0.25">
      <c r="A259" t="s">
        <v>441</v>
      </c>
      <c r="B259" s="7">
        <v>7250.13</v>
      </c>
      <c r="C259" s="7">
        <v>7230.74</v>
      </c>
      <c r="D259" s="7">
        <v>7253.42</v>
      </c>
      <c r="E259" s="7">
        <v>7213.74</v>
      </c>
      <c r="F259" t="s">
        <v>442</v>
      </c>
      <c r="G259" s="8">
        <v>-2.0999999999999999E-3</v>
      </c>
    </row>
    <row r="260" spans="1:7" x14ac:dyDescent="0.25">
      <c r="A260" t="s">
        <v>443</v>
      </c>
      <c r="B260" s="7">
        <v>7265.49</v>
      </c>
      <c r="C260" s="7">
        <v>7292.91</v>
      </c>
      <c r="D260" s="7">
        <v>7307.67</v>
      </c>
      <c r="E260" s="7">
        <v>7265.49</v>
      </c>
      <c r="F260" t="s">
        <v>444</v>
      </c>
      <c r="G260" s="8">
        <v>-3.7000000000000002E-3</v>
      </c>
    </row>
    <row r="261" spans="1:7" x14ac:dyDescent="0.25">
      <c r="A261" t="s">
        <v>445</v>
      </c>
      <c r="B261" s="7">
        <v>7292.8</v>
      </c>
      <c r="C261" s="7">
        <v>7275</v>
      </c>
      <c r="D261" s="7">
        <v>7298.91</v>
      </c>
      <c r="E261" s="7">
        <v>7268.58</v>
      </c>
      <c r="F261" t="s">
        <v>446</v>
      </c>
      <c r="G261" s="8">
        <v>2E-3</v>
      </c>
    </row>
    <row r="262" spans="1:7" x14ac:dyDescent="0.25">
      <c r="A262" t="s">
        <v>447</v>
      </c>
      <c r="B262" s="7">
        <v>7277.93</v>
      </c>
      <c r="C262" s="7">
        <v>7274.25</v>
      </c>
      <c r="D262" s="7">
        <v>7285.29</v>
      </c>
      <c r="E262" s="7">
        <v>7263.67</v>
      </c>
      <c r="F262" t="s">
        <v>448</v>
      </c>
      <c r="G262" s="8">
        <v>2.3999999999999998E-3</v>
      </c>
    </row>
    <row r="263" spans="1:7" x14ac:dyDescent="0.25">
      <c r="A263" t="s">
        <v>449</v>
      </c>
      <c r="B263" s="7">
        <v>7260.73</v>
      </c>
      <c r="C263" s="7">
        <v>7252.01</v>
      </c>
      <c r="D263" s="7">
        <v>7274.77</v>
      </c>
      <c r="E263" s="7">
        <v>7243.83</v>
      </c>
      <c r="F263" t="s">
        <v>450</v>
      </c>
      <c r="G263" s="8">
        <v>4.3E-3</v>
      </c>
    </row>
    <row r="264" spans="1:7" x14ac:dyDescent="0.25">
      <c r="A264" t="s">
        <v>451</v>
      </c>
      <c r="B264" s="7">
        <v>7229.45</v>
      </c>
      <c r="C264" s="7">
        <v>7231.04</v>
      </c>
      <c r="D264" s="7">
        <v>7248.06</v>
      </c>
      <c r="E264" s="7">
        <v>7214.39</v>
      </c>
      <c r="F264" t="s">
        <v>452</v>
      </c>
      <c r="G264" s="8">
        <v>-2.3999999999999998E-3</v>
      </c>
    </row>
    <row r="265" spans="1:7" x14ac:dyDescent="0.25">
      <c r="A265" t="s">
        <v>453</v>
      </c>
      <c r="B265" s="7">
        <v>7246.93</v>
      </c>
      <c r="C265" s="7">
        <v>7242.4</v>
      </c>
      <c r="D265" s="7">
        <v>7267.04</v>
      </c>
      <c r="E265" s="7">
        <v>7236.02</v>
      </c>
      <c r="F265" t="s">
        <v>454</v>
      </c>
      <c r="G265" s="8">
        <v>1.8E-3</v>
      </c>
    </row>
    <row r="266" spans="1:7" x14ac:dyDescent="0.25">
      <c r="A266" t="s">
        <v>455</v>
      </c>
      <c r="B266" s="7">
        <v>7233.91</v>
      </c>
      <c r="C266" s="7">
        <v>7196.69</v>
      </c>
      <c r="D266" s="7">
        <v>7246.72</v>
      </c>
      <c r="E266" s="7">
        <v>7196.69</v>
      </c>
      <c r="F266" t="s">
        <v>456</v>
      </c>
      <c r="G266" s="8">
        <v>9.1000000000000004E-3</v>
      </c>
    </row>
    <row r="267" spans="1:7" x14ac:dyDescent="0.25">
      <c r="A267" t="s">
        <v>457</v>
      </c>
      <c r="B267" s="7">
        <v>7168.4</v>
      </c>
      <c r="C267" s="7">
        <v>7203.96</v>
      </c>
      <c r="D267" s="7">
        <v>7210.01</v>
      </c>
      <c r="E267" s="7">
        <v>7168.4</v>
      </c>
      <c r="F267" t="s">
        <v>458</v>
      </c>
      <c r="G267" s="8">
        <v>-5.7000000000000002E-3</v>
      </c>
    </row>
    <row r="268" spans="1:7" x14ac:dyDescent="0.25">
      <c r="A268" t="s">
        <v>459</v>
      </c>
      <c r="B268" s="7">
        <v>7209.61</v>
      </c>
      <c r="C268" s="7">
        <v>7214.69</v>
      </c>
      <c r="D268" s="7">
        <v>7245.37</v>
      </c>
      <c r="E268" s="7">
        <v>7198.91</v>
      </c>
      <c r="F268" t="s">
        <v>460</v>
      </c>
      <c r="G268" s="8">
        <v>3.3E-3</v>
      </c>
    </row>
    <row r="269" spans="1:7" x14ac:dyDescent="0.25">
      <c r="A269" t="s">
        <v>461</v>
      </c>
      <c r="B269" s="7">
        <v>7185.68</v>
      </c>
      <c r="C269" s="7">
        <v>7098.72</v>
      </c>
      <c r="D269" s="7">
        <v>7207.77</v>
      </c>
      <c r="E269" s="7">
        <v>7083.23</v>
      </c>
      <c r="F269" t="s">
        <v>462</v>
      </c>
      <c r="G269" s="8">
        <v>1.3899999999999999E-2</v>
      </c>
    </row>
    <row r="270" spans="1:7" x14ac:dyDescent="0.25">
      <c r="A270" t="s">
        <v>463</v>
      </c>
      <c r="B270" s="7">
        <v>7087.06</v>
      </c>
      <c r="C270" s="7">
        <v>7069.88</v>
      </c>
      <c r="D270" s="7">
        <v>7103.67</v>
      </c>
      <c r="E270" s="7">
        <v>7056.09</v>
      </c>
      <c r="F270" t="s">
        <v>464</v>
      </c>
      <c r="G270" s="8">
        <v>6.0000000000000001E-3</v>
      </c>
    </row>
    <row r="271" spans="1:7" x14ac:dyDescent="0.25">
      <c r="A271" s="9">
        <v>45210</v>
      </c>
      <c r="B271" s="7">
        <v>7045.04</v>
      </c>
      <c r="C271" s="7">
        <v>7079.4</v>
      </c>
      <c r="D271" s="7">
        <v>7083.12</v>
      </c>
      <c r="E271" s="7">
        <v>7006.09</v>
      </c>
      <c r="F271" t="s">
        <v>366</v>
      </c>
      <c r="G271" s="8">
        <v>-9.5999999999999992E-3</v>
      </c>
    </row>
    <row r="272" spans="1:7" x14ac:dyDescent="0.25">
      <c r="A272" s="9">
        <v>45180</v>
      </c>
      <c r="B272" s="7">
        <v>7113.66</v>
      </c>
      <c r="C272" s="7">
        <v>7043.88</v>
      </c>
      <c r="D272" s="7">
        <v>7122.51</v>
      </c>
      <c r="E272" s="7">
        <v>7025.61</v>
      </c>
      <c r="F272" t="s">
        <v>465</v>
      </c>
      <c r="G272" s="8">
        <v>1.1299999999999999E-2</v>
      </c>
    </row>
    <row r="273" spans="1:7" x14ac:dyDescent="0.25">
      <c r="A273" s="9">
        <v>45149</v>
      </c>
      <c r="B273" s="7">
        <v>7034.16</v>
      </c>
      <c r="C273" s="7">
        <v>6951.48</v>
      </c>
      <c r="D273" s="7">
        <v>7068.04</v>
      </c>
      <c r="E273" s="7">
        <v>6950.95</v>
      </c>
      <c r="F273" t="s">
        <v>466</v>
      </c>
      <c r="G273" s="8">
        <v>6.8999999999999999E-3</v>
      </c>
    </row>
    <row r="274" spans="1:7" x14ac:dyDescent="0.25">
      <c r="A274" s="9">
        <v>45118</v>
      </c>
      <c r="B274" s="7">
        <v>6986.23</v>
      </c>
      <c r="C274" s="7">
        <v>6970.66</v>
      </c>
      <c r="D274" s="7">
        <v>7011.79</v>
      </c>
      <c r="E274" s="7">
        <v>6963.88</v>
      </c>
      <c r="F274" t="s">
        <v>467</v>
      </c>
      <c r="G274" s="8">
        <v>-3.8999999999999998E-3</v>
      </c>
    </row>
    <row r="275" spans="1:7" x14ac:dyDescent="0.25">
      <c r="A275" s="9">
        <v>45088</v>
      </c>
      <c r="B275" s="7">
        <v>7013.73</v>
      </c>
      <c r="C275" s="7">
        <v>7066.18</v>
      </c>
      <c r="D275" s="7">
        <v>7069.66</v>
      </c>
      <c r="E275" s="7">
        <v>7006.53</v>
      </c>
      <c r="F275" t="s">
        <v>468</v>
      </c>
      <c r="G275" s="8">
        <v>-4.7999999999999996E-3</v>
      </c>
    </row>
    <row r="276" spans="1:7" x14ac:dyDescent="0.25">
      <c r="A276" s="9">
        <v>44996</v>
      </c>
      <c r="B276" s="7">
        <v>7047.5</v>
      </c>
      <c r="C276" s="7">
        <v>7084.51</v>
      </c>
      <c r="D276" s="7">
        <v>7086.71</v>
      </c>
      <c r="E276" s="7">
        <v>7046.86</v>
      </c>
      <c r="F276" t="s">
        <v>469</v>
      </c>
      <c r="G276" s="8">
        <v>-1.9E-3</v>
      </c>
    </row>
    <row r="277" spans="1:7" x14ac:dyDescent="0.25">
      <c r="A277" s="9">
        <v>44968</v>
      </c>
      <c r="B277" s="7">
        <v>7060.69</v>
      </c>
      <c r="C277" s="7">
        <v>6991.45</v>
      </c>
      <c r="D277" s="7">
        <v>7097.39</v>
      </c>
      <c r="E277" s="7">
        <v>6982.04</v>
      </c>
      <c r="F277" t="s">
        <v>470</v>
      </c>
      <c r="G277" s="8">
        <v>1.8499999999999999E-2</v>
      </c>
    </row>
    <row r="278" spans="1:7" x14ac:dyDescent="0.25">
      <c r="A278" s="9">
        <v>44937</v>
      </c>
      <c r="B278" s="7">
        <v>6932.63</v>
      </c>
      <c r="C278" s="7">
        <v>6914.32</v>
      </c>
      <c r="D278" s="7">
        <v>6954.84</v>
      </c>
      <c r="E278" s="7">
        <v>6873.55</v>
      </c>
      <c r="F278" t="s">
        <v>471</v>
      </c>
      <c r="G278" s="8">
        <v>6.7999999999999996E-3</v>
      </c>
    </row>
    <row r="279" spans="1:7" x14ac:dyDescent="0.25">
      <c r="A279" t="s">
        <v>472</v>
      </c>
      <c r="B279" s="7">
        <v>6885.65</v>
      </c>
      <c r="C279" s="7">
        <v>6840.73</v>
      </c>
      <c r="D279" s="7">
        <v>6903.2</v>
      </c>
      <c r="E279" s="7">
        <v>6831.67</v>
      </c>
      <c r="F279" t="s">
        <v>473</v>
      </c>
      <c r="G279" s="8">
        <v>8.8999999999999999E-3</v>
      </c>
    </row>
    <row r="280" spans="1:7" x14ac:dyDescent="0.25">
      <c r="A280" t="s">
        <v>474</v>
      </c>
      <c r="B280" s="7">
        <v>6825.07</v>
      </c>
      <c r="C280" s="7">
        <v>6826.95</v>
      </c>
      <c r="D280" s="7">
        <v>6854.6</v>
      </c>
      <c r="E280" s="7">
        <v>6809.84</v>
      </c>
      <c r="F280" t="s">
        <v>475</v>
      </c>
      <c r="G280" s="8">
        <v>4.4000000000000003E-3</v>
      </c>
    </row>
    <row r="281" spans="1:7" x14ac:dyDescent="0.25">
      <c r="A281" t="s">
        <v>476</v>
      </c>
      <c r="B281" s="7">
        <v>6795.38</v>
      </c>
      <c r="C281" s="7">
        <v>6898.98</v>
      </c>
      <c r="D281" s="7">
        <v>6898.98</v>
      </c>
      <c r="E281" s="7">
        <v>6784.62</v>
      </c>
      <c r="F281" t="s">
        <v>477</v>
      </c>
      <c r="G281" s="8">
        <v>-1.3599999999999999E-2</v>
      </c>
    </row>
    <row r="282" spans="1:7" x14ac:dyDescent="0.25">
      <c r="A282" t="s">
        <v>478</v>
      </c>
      <c r="B282" s="7">
        <v>6888.96</v>
      </c>
      <c r="C282" s="7">
        <v>6835.53</v>
      </c>
      <c r="D282" s="7">
        <v>6915.24</v>
      </c>
      <c r="E282" s="7">
        <v>6825.59</v>
      </c>
      <c r="F282" t="s">
        <v>479</v>
      </c>
      <c r="G282" s="8">
        <v>-3.8E-3</v>
      </c>
    </row>
    <row r="283" spans="1:7" x14ac:dyDescent="0.25">
      <c r="A283" t="s">
        <v>480</v>
      </c>
      <c r="B283" s="7">
        <v>6915.07</v>
      </c>
      <c r="C283" s="7">
        <v>6859.69</v>
      </c>
      <c r="D283" s="7">
        <v>6927.27</v>
      </c>
      <c r="E283" s="7">
        <v>6846.51</v>
      </c>
      <c r="F283" t="s">
        <v>481</v>
      </c>
      <c r="G283" s="8">
        <v>3.0999999999999999E-3</v>
      </c>
    </row>
    <row r="284" spans="1:7" x14ac:dyDescent="0.25">
      <c r="A284" t="s">
        <v>482</v>
      </c>
      <c r="B284" s="7">
        <v>6893.65</v>
      </c>
      <c r="C284" s="7">
        <v>6865.1</v>
      </c>
      <c r="D284" s="7">
        <v>6909.08</v>
      </c>
      <c r="E284" s="7">
        <v>6833.91</v>
      </c>
      <c r="F284" t="s">
        <v>483</v>
      </c>
      <c r="G284" s="8">
        <v>6.3E-3</v>
      </c>
    </row>
    <row r="285" spans="1:7" x14ac:dyDescent="0.25">
      <c r="A285" t="s">
        <v>484</v>
      </c>
      <c r="B285" s="7">
        <v>6850.47</v>
      </c>
      <c r="C285" s="7">
        <v>6820.25</v>
      </c>
      <c r="D285" s="7">
        <v>6855.93</v>
      </c>
      <c r="E285" s="7">
        <v>6773.82</v>
      </c>
      <c r="F285" t="s">
        <v>485</v>
      </c>
      <c r="G285" s="8">
        <v>5.0000000000000001E-3</v>
      </c>
    </row>
    <row r="286" spans="1:7" x14ac:dyDescent="0.25">
      <c r="A286" t="s">
        <v>486</v>
      </c>
      <c r="B286" s="7">
        <v>6816.22</v>
      </c>
      <c r="C286" s="7">
        <v>6850.13</v>
      </c>
      <c r="D286" s="7">
        <v>6880.64</v>
      </c>
      <c r="E286" s="7">
        <v>6816.17</v>
      </c>
      <c r="F286" t="s">
        <v>487</v>
      </c>
      <c r="G286" s="8">
        <v>-1.52E-2</v>
      </c>
    </row>
    <row r="287" spans="1:7" x14ac:dyDescent="0.25">
      <c r="A287" t="s">
        <v>488</v>
      </c>
      <c r="B287" s="7">
        <v>6921.37</v>
      </c>
      <c r="C287" s="7">
        <v>6918.08</v>
      </c>
      <c r="D287" s="7">
        <v>6938.31</v>
      </c>
      <c r="E287" s="7">
        <v>6875.77</v>
      </c>
      <c r="F287" t="s">
        <v>489</v>
      </c>
      <c r="G287" s="8">
        <v>-6.4000000000000003E-3</v>
      </c>
    </row>
    <row r="288" spans="1:7" x14ac:dyDescent="0.25">
      <c r="A288" t="s">
        <v>490</v>
      </c>
      <c r="B288" s="7">
        <v>6965.99</v>
      </c>
      <c r="C288" s="7">
        <v>7021.13</v>
      </c>
      <c r="D288" s="7">
        <v>7045.18</v>
      </c>
      <c r="E288" s="7">
        <v>6954.1</v>
      </c>
      <c r="F288" t="s">
        <v>491</v>
      </c>
      <c r="G288" s="8">
        <v>-9.1000000000000004E-3</v>
      </c>
    </row>
    <row r="289" spans="1:7" x14ac:dyDescent="0.25">
      <c r="A289" t="s">
        <v>492</v>
      </c>
      <c r="B289" s="7">
        <v>7029.7</v>
      </c>
      <c r="C289" s="7">
        <v>7016.25</v>
      </c>
      <c r="D289" s="7">
        <v>7051.18</v>
      </c>
      <c r="E289" s="7">
        <v>6969.07</v>
      </c>
      <c r="F289" t="s">
        <v>493</v>
      </c>
      <c r="G289" s="8">
        <v>1.1000000000000001E-3</v>
      </c>
    </row>
    <row r="290" spans="1:7" x14ac:dyDescent="0.25">
      <c r="A290" t="s">
        <v>494</v>
      </c>
      <c r="B290" s="7">
        <v>7022.19</v>
      </c>
      <c r="C290" s="7">
        <v>7029.75</v>
      </c>
      <c r="D290" s="7">
        <v>7048.34</v>
      </c>
      <c r="E290" s="7">
        <v>6963.02</v>
      </c>
      <c r="F290" t="s">
        <v>495</v>
      </c>
      <c r="G290" s="8">
        <v>2.7000000000000001E-3</v>
      </c>
    </row>
    <row r="291" spans="1:7" x14ac:dyDescent="0.25">
      <c r="A291" t="s">
        <v>496</v>
      </c>
      <c r="B291" s="7">
        <v>7003.53</v>
      </c>
      <c r="C291" s="7">
        <v>7097.15</v>
      </c>
      <c r="D291" s="7">
        <v>7108.76</v>
      </c>
      <c r="E291" s="7">
        <v>6997.48</v>
      </c>
      <c r="F291" t="s">
        <v>497</v>
      </c>
      <c r="G291" s="8">
        <v>-1.4200000000000001E-2</v>
      </c>
    </row>
    <row r="292" spans="1:7" x14ac:dyDescent="0.25">
      <c r="A292" s="9">
        <v>45270</v>
      </c>
      <c r="B292" s="7">
        <v>7104.53</v>
      </c>
      <c r="C292" s="7">
        <v>7175.77</v>
      </c>
      <c r="D292" s="7">
        <v>7182.3</v>
      </c>
      <c r="E292" s="7">
        <v>7097.53</v>
      </c>
      <c r="F292" t="s">
        <v>498</v>
      </c>
      <c r="G292" s="8">
        <v>-3.7000000000000002E-3</v>
      </c>
    </row>
    <row r="293" spans="1:7" x14ac:dyDescent="0.25">
      <c r="A293" s="9">
        <v>45240</v>
      </c>
      <c r="B293" s="7">
        <v>7131.21</v>
      </c>
      <c r="C293" s="7">
        <v>7090.18</v>
      </c>
      <c r="D293" s="7">
        <v>7166.5</v>
      </c>
      <c r="E293" s="7">
        <v>7080.01</v>
      </c>
      <c r="F293" t="s">
        <v>499</v>
      </c>
      <c r="G293" s="8">
        <v>-4.4000000000000003E-3</v>
      </c>
    </row>
    <row r="294" spans="1:7" x14ac:dyDescent="0.25">
      <c r="A294" s="9">
        <v>45209</v>
      </c>
      <c r="B294" s="7">
        <v>7162.43</v>
      </c>
      <c r="C294" s="7">
        <v>7086.72</v>
      </c>
      <c r="D294" s="7">
        <v>7170.32</v>
      </c>
      <c r="E294" s="7">
        <v>7085.13</v>
      </c>
      <c r="F294" t="s">
        <v>429</v>
      </c>
      <c r="G294" s="8">
        <v>2.01E-2</v>
      </c>
    </row>
    <row r="295" spans="1:7" x14ac:dyDescent="0.25">
      <c r="A295" s="9">
        <v>45179</v>
      </c>
      <c r="B295" s="7">
        <v>7021.4</v>
      </c>
      <c r="C295" s="7">
        <v>7041.38</v>
      </c>
      <c r="D295" s="7">
        <v>7057.81</v>
      </c>
      <c r="E295" s="7">
        <v>6980.33</v>
      </c>
      <c r="F295" t="s">
        <v>500</v>
      </c>
      <c r="G295" s="8">
        <v>-5.4999999999999997E-3</v>
      </c>
    </row>
    <row r="296" spans="1:7" x14ac:dyDescent="0.25">
      <c r="A296" s="9">
        <v>45087</v>
      </c>
      <c r="B296" s="7">
        <v>7060.15</v>
      </c>
      <c r="C296" s="7">
        <v>7022.07</v>
      </c>
      <c r="D296" s="7">
        <v>7064.44</v>
      </c>
      <c r="E296" s="7">
        <v>6981.49</v>
      </c>
      <c r="F296" t="s">
        <v>501</v>
      </c>
      <c r="G296" s="8">
        <v>8.8000000000000005E-3</v>
      </c>
    </row>
    <row r="297" spans="1:7" x14ac:dyDescent="0.25">
      <c r="A297" s="9">
        <v>45056</v>
      </c>
      <c r="B297" s="7">
        <v>6998.25</v>
      </c>
      <c r="C297" s="7">
        <v>7009.82</v>
      </c>
      <c r="D297" s="7">
        <v>7025.5</v>
      </c>
      <c r="E297" s="7">
        <v>6970.59</v>
      </c>
      <c r="F297" t="s">
        <v>502</v>
      </c>
      <c r="G297" s="8">
        <v>2.0000000000000001E-4</v>
      </c>
    </row>
    <row r="298" spans="1:7" x14ac:dyDescent="0.25">
      <c r="A298" s="9">
        <v>45026</v>
      </c>
      <c r="B298" s="7">
        <v>6996.73</v>
      </c>
      <c r="C298" s="7">
        <v>6959.52</v>
      </c>
      <c r="D298" s="7">
        <v>7050.69</v>
      </c>
      <c r="E298" s="7">
        <v>6948.03</v>
      </c>
      <c r="F298" t="s">
        <v>503</v>
      </c>
      <c r="G298" s="8">
        <v>0</v>
      </c>
    </row>
    <row r="299" spans="1:7" x14ac:dyDescent="0.25">
      <c r="A299" s="9">
        <v>44995</v>
      </c>
      <c r="B299" s="7">
        <v>6997.05</v>
      </c>
      <c r="C299" s="7">
        <v>7031.59</v>
      </c>
      <c r="D299" s="7">
        <v>7075.49</v>
      </c>
      <c r="E299" s="7">
        <v>6989.77</v>
      </c>
      <c r="F299" t="s">
        <v>114</v>
      </c>
      <c r="G299" s="8">
        <v>-1.01E-2</v>
      </c>
    </row>
    <row r="300" spans="1:7" x14ac:dyDescent="0.25">
      <c r="A300" s="9">
        <v>44967</v>
      </c>
      <c r="B300" s="7">
        <v>7068.16</v>
      </c>
      <c r="C300" s="7">
        <v>7164.05</v>
      </c>
      <c r="D300" s="7">
        <v>7197</v>
      </c>
      <c r="E300" s="7">
        <v>7035.65</v>
      </c>
      <c r="F300" t="s">
        <v>504</v>
      </c>
      <c r="G300" s="8">
        <v>-9.4000000000000004E-3</v>
      </c>
    </row>
    <row r="301" spans="1:7" x14ac:dyDescent="0.25">
      <c r="A301" t="s">
        <v>505</v>
      </c>
      <c r="B301" s="7">
        <v>7135.06</v>
      </c>
      <c r="C301" s="7">
        <v>7152.3</v>
      </c>
      <c r="D301" s="7">
        <v>7204.96</v>
      </c>
      <c r="E301" s="7">
        <v>7135.06</v>
      </c>
      <c r="F301" t="s">
        <v>506</v>
      </c>
      <c r="G301" s="8">
        <v>2.5999999999999999E-3</v>
      </c>
    </row>
    <row r="302" spans="1:7" x14ac:dyDescent="0.25">
      <c r="A302" t="s">
        <v>507</v>
      </c>
      <c r="B302" s="7">
        <v>7116.24</v>
      </c>
      <c r="C302" s="7">
        <v>7068.03</v>
      </c>
      <c r="D302" s="7">
        <v>7117.33</v>
      </c>
      <c r="E302" s="7">
        <v>7042.74</v>
      </c>
      <c r="F302" t="s">
        <v>508</v>
      </c>
      <c r="G302" s="8">
        <v>6.3E-3</v>
      </c>
    </row>
    <row r="303" spans="1:7" x14ac:dyDescent="0.25">
      <c r="A303" t="s">
        <v>509</v>
      </c>
      <c r="B303" s="7">
        <v>7071.79</v>
      </c>
      <c r="C303" s="7">
        <v>7070.39</v>
      </c>
      <c r="D303" s="7">
        <v>7106.37</v>
      </c>
      <c r="E303" s="7">
        <v>7053.11</v>
      </c>
      <c r="F303" t="s">
        <v>510</v>
      </c>
      <c r="G303" s="8">
        <v>-2.9999999999999997E-4</v>
      </c>
    </row>
    <row r="304" spans="1:7" x14ac:dyDescent="0.25">
      <c r="A304" t="s">
        <v>511</v>
      </c>
      <c r="B304" s="7">
        <v>7074.02</v>
      </c>
      <c r="C304" s="7">
        <v>7083.86</v>
      </c>
      <c r="D304" s="7">
        <v>7095.46</v>
      </c>
      <c r="E304" s="7">
        <v>7033.83</v>
      </c>
      <c r="F304" t="s">
        <v>512</v>
      </c>
      <c r="G304" s="8">
        <v>-7.0000000000000001E-3</v>
      </c>
    </row>
    <row r="305" spans="1:7" x14ac:dyDescent="0.25">
      <c r="A305" t="s">
        <v>513</v>
      </c>
      <c r="B305" s="7">
        <v>7123.88</v>
      </c>
      <c r="C305" s="7">
        <v>7157.23</v>
      </c>
      <c r="D305" s="7">
        <v>7199.95</v>
      </c>
      <c r="E305" s="7">
        <v>7087.63</v>
      </c>
      <c r="F305" t="s">
        <v>514</v>
      </c>
      <c r="G305" s="8">
        <v>-8.5000000000000006E-3</v>
      </c>
    </row>
    <row r="306" spans="1:7" x14ac:dyDescent="0.25">
      <c r="A306" t="s">
        <v>515</v>
      </c>
      <c r="B306" s="7">
        <v>7184.82</v>
      </c>
      <c r="C306" s="7">
        <v>7157.39</v>
      </c>
      <c r="D306" s="7">
        <v>7203.97</v>
      </c>
      <c r="E306" s="7">
        <v>7133.65</v>
      </c>
      <c r="F306" t="s">
        <v>516</v>
      </c>
      <c r="G306" s="8">
        <v>-4.0000000000000001E-3</v>
      </c>
    </row>
    <row r="307" spans="1:7" x14ac:dyDescent="0.25">
      <c r="A307" t="s">
        <v>517</v>
      </c>
      <c r="B307" s="7">
        <v>7213.9</v>
      </c>
      <c r="C307" s="7">
        <v>7252.41</v>
      </c>
      <c r="D307" s="7">
        <v>7270.06</v>
      </c>
      <c r="E307" s="7">
        <v>7199.11</v>
      </c>
      <c r="F307" t="s">
        <v>518</v>
      </c>
      <c r="G307" s="8">
        <v>-1.5900000000000001E-2</v>
      </c>
    </row>
    <row r="308" spans="1:7" x14ac:dyDescent="0.25">
      <c r="A308" t="s">
        <v>519</v>
      </c>
      <c r="B308" s="7">
        <v>7330.79</v>
      </c>
      <c r="C308" s="7">
        <v>7278.92</v>
      </c>
      <c r="D308" s="7">
        <v>7351.29</v>
      </c>
      <c r="E308" s="7">
        <v>7272.68</v>
      </c>
      <c r="F308" t="s">
        <v>520</v>
      </c>
      <c r="G308" s="8">
        <v>6.7000000000000002E-3</v>
      </c>
    </row>
    <row r="309" spans="1:7" x14ac:dyDescent="0.25">
      <c r="A309" t="s">
        <v>521</v>
      </c>
      <c r="B309" s="7">
        <v>7282.12</v>
      </c>
      <c r="C309" s="7">
        <v>7250.05</v>
      </c>
      <c r="D309" s="7">
        <v>7306.02</v>
      </c>
      <c r="E309" s="7">
        <v>7247.02</v>
      </c>
      <c r="F309" t="s">
        <v>522</v>
      </c>
      <c r="G309" s="8">
        <v>8.0000000000000004E-4</v>
      </c>
    </row>
    <row r="310" spans="1:7" x14ac:dyDescent="0.25">
      <c r="A310" t="s">
        <v>523</v>
      </c>
      <c r="B310" s="7">
        <v>7276.14</v>
      </c>
      <c r="C310" s="7">
        <v>7353.55</v>
      </c>
      <c r="D310" s="7">
        <v>7353.55</v>
      </c>
      <c r="E310" s="7">
        <v>7255.03</v>
      </c>
      <c r="F310" t="s">
        <v>524</v>
      </c>
      <c r="G310" s="8">
        <v>-1.3899999999999999E-2</v>
      </c>
    </row>
    <row r="311" spans="1:7" x14ac:dyDescent="0.25">
      <c r="A311" t="s">
        <v>525</v>
      </c>
      <c r="B311" s="7">
        <v>7378.82</v>
      </c>
      <c r="C311" s="7">
        <v>7381.32</v>
      </c>
      <c r="D311" s="7">
        <v>7435.36</v>
      </c>
      <c r="E311" s="7">
        <v>7366.21</v>
      </c>
      <c r="F311" t="s">
        <v>526</v>
      </c>
      <c r="G311" s="8">
        <v>9.5999999999999992E-3</v>
      </c>
    </row>
    <row r="312" spans="1:7" x14ac:dyDescent="0.25">
      <c r="A312" t="s">
        <v>527</v>
      </c>
      <c r="B312" s="7">
        <v>7308.67</v>
      </c>
      <c r="C312" s="7">
        <v>7216.08</v>
      </c>
      <c r="D312" s="7">
        <v>7323.68</v>
      </c>
      <c r="E312" s="7">
        <v>7184.25</v>
      </c>
      <c r="F312" t="s">
        <v>528</v>
      </c>
      <c r="G312" s="8">
        <v>1.1900000000000001E-2</v>
      </c>
    </row>
    <row r="313" spans="1:7" x14ac:dyDescent="0.25">
      <c r="A313" t="s">
        <v>529</v>
      </c>
      <c r="B313" s="7">
        <v>7222.57</v>
      </c>
      <c r="C313" s="7">
        <v>7224.62</v>
      </c>
      <c r="D313" s="7">
        <v>7249.34</v>
      </c>
      <c r="E313" s="7">
        <v>7184.56</v>
      </c>
      <c r="F313" t="s">
        <v>530</v>
      </c>
      <c r="G313" s="8">
        <v>-4.1999999999999997E-3</v>
      </c>
    </row>
    <row r="314" spans="1:7" x14ac:dyDescent="0.25">
      <c r="A314" s="9">
        <v>45269</v>
      </c>
      <c r="B314" s="7">
        <v>7252.88</v>
      </c>
      <c r="C314" s="7">
        <v>7290.62</v>
      </c>
      <c r="D314" s="7">
        <v>7297.87</v>
      </c>
      <c r="E314" s="7">
        <v>7241.99</v>
      </c>
      <c r="F314" t="s">
        <v>531</v>
      </c>
      <c r="G314" s="8">
        <v>-3.5000000000000001E-3</v>
      </c>
    </row>
    <row r="315" spans="1:7" x14ac:dyDescent="0.25">
      <c r="A315" s="9">
        <v>45239</v>
      </c>
      <c r="B315" s="7">
        <v>7278.27</v>
      </c>
      <c r="C315" s="7">
        <v>7275.37</v>
      </c>
      <c r="D315" s="7">
        <v>7316.5</v>
      </c>
      <c r="E315" s="7">
        <v>7253.65</v>
      </c>
      <c r="F315" t="s">
        <v>532</v>
      </c>
      <c r="G315" s="8">
        <v>5.1999999999999998E-3</v>
      </c>
    </row>
    <row r="316" spans="1:7" x14ac:dyDescent="0.25">
      <c r="A316" s="9">
        <v>45147</v>
      </c>
      <c r="B316" s="7">
        <v>7240.77</v>
      </c>
      <c r="C316" s="7">
        <v>7219.91</v>
      </c>
      <c r="D316" s="7">
        <v>7246.74</v>
      </c>
      <c r="E316" s="7">
        <v>7136.56</v>
      </c>
      <c r="F316" t="s">
        <v>533</v>
      </c>
      <c r="G316" s="8">
        <v>6.1999999999999998E-3</v>
      </c>
    </row>
    <row r="317" spans="1:7" x14ac:dyDescent="0.25">
      <c r="A317" s="9">
        <v>45116</v>
      </c>
      <c r="B317" s="7">
        <v>7196.1</v>
      </c>
      <c r="C317" s="7">
        <v>7165.98</v>
      </c>
      <c r="D317" s="7">
        <v>7240.72</v>
      </c>
      <c r="E317" s="7">
        <v>7165.98</v>
      </c>
      <c r="F317" t="s">
        <v>534</v>
      </c>
      <c r="G317" s="8">
        <v>2.9999999999999997E-4</v>
      </c>
    </row>
    <row r="318" spans="1:7" x14ac:dyDescent="0.25">
      <c r="A318" s="9">
        <v>45086</v>
      </c>
      <c r="B318" s="7">
        <v>7194.09</v>
      </c>
      <c r="C318" s="7">
        <v>7217.44</v>
      </c>
      <c r="D318" s="7">
        <v>7221.44</v>
      </c>
      <c r="E318" s="7">
        <v>7168.84</v>
      </c>
      <c r="F318" t="s">
        <v>535</v>
      </c>
      <c r="G318" s="8">
        <v>-8.3999999999999995E-3</v>
      </c>
    </row>
    <row r="319" spans="1:7" x14ac:dyDescent="0.25">
      <c r="A319" s="9">
        <v>45055</v>
      </c>
      <c r="B319" s="7">
        <v>7254.72</v>
      </c>
      <c r="C319" s="7">
        <v>7241.2</v>
      </c>
      <c r="D319" s="7">
        <v>7288.35</v>
      </c>
      <c r="E319" s="7">
        <v>7183.8</v>
      </c>
      <c r="F319" t="s">
        <v>536</v>
      </c>
      <c r="G319" s="8">
        <v>-3.3999999999999998E-3</v>
      </c>
    </row>
    <row r="320" spans="1:7" x14ac:dyDescent="0.25">
      <c r="A320" s="9">
        <v>45025</v>
      </c>
      <c r="B320" s="7">
        <v>7279.51</v>
      </c>
      <c r="C320" s="7">
        <v>7332.2</v>
      </c>
      <c r="D320" s="7">
        <v>7358.89</v>
      </c>
      <c r="E320" s="7">
        <v>7267.25</v>
      </c>
      <c r="F320" t="s">
        <v>537</v>
      </c>
      <c r="G320" s="8">
        <v>-2.3999999999999998E-3</v>
      </c>
    </row>
    <row r="321" spans="1:7" x14ac:dyDescent="0.25">
      <c r="A321" s="9">
        <v>44935</v>
      </c>
      <c r="B321" s="7">
        <v>7296.77</v>
      </c>
      <c r="C321" s="7">
        <v>7310.68</v>
      </c>
      <c r="D321" s="7">
        <v>7358.53</v>
      </c>
      <c r="E321" s="7">
        <v>7294.49</v>
      </c>
      <c r="F321" t="s">
        <v>538</v>
      </c>
      <c r="G321" s="8">
        <v>-2.7000000000000001E-3</v>
      </c>
    </row>
    <row r="322" spans="1:7" x14ac:dyDescent="0.25">
      <c r="A322" t="s">
        <v>539</v>
      </c>
      <c r="B322" s="7">
        <v>7316.7</v>
      </c>
      <c r="C322" s="7">
        <v>7372.65</v>
      </c>
      <c r="D322" s="7">
        <v>7386.95</v>
      </c>
      <c r="E322" s="7">
        <v>7316.7</v>
      </c>
      <c r="F322" t="s">
        <v>540</v>
      </c>
      <c r="G322" s="8">
        <v>-6.4999999999999997E-3</v>
      </c>
    </row>
    <row r="323" spans="1:7" x14ac:dyDescent="0.25">
      <c r="A323" t="s">
        <v>541</v>
      </c>
      <c r="B323" s="7">
        <v>7364.4</v>
      </c>
      <c r="C323" s="7">
        <v>7396.14</v>
      </c>
      <c r="D323" s="7">
        <v>7405.45</v>
      </c>
      <c r="E323" s="7">
        <v>7321.35</v>
      </c>
      <c r="F323" t="s">
        <v>542</v>
      </c>
      <c r="G323" s="8">
        <v>-1.1999999999999999E-3</v>
      </c>
    </row>
    <row r="324" spans="1:7" x14ac:dyDescent="0.25">
      <c r="A324" t="s">
        <v>543</v>
      </c>
      <c r="B324" s="7">
        <v>7373.43</v>
      </c>
      <c r="C324" s="7">
        <v>7345.57</v>
      </c>
      <c r="D324" s="7">
        <v>7378.05</v>
      </c>
      <c r="E324" s="7">
        <v>7322.45</v>
      </c>
      <c r="F324" t="s">
        <v>544</v>
      </c>
      <c r="G324" s="8">
        <v>6.7000000000000002E-3</v>
      </c>
    </row>
    <row r="325" spans="1:7" x14ac:dyDescent="0.25">
      <c r="A325" t="s">
        <v>545</v>
      </c>
      <c r="B325" s="7">
        <v>7324.71</v>
      </c>
      <c r="C325" s="7">
        <v>7294.34</v>
      </c>
      <c r="D325" s="7">
        <v>7340.35</v>
      </c>
      <c r="E325" s="7">
        <v>7261.5</v>
      </c>
      <c r="F325" t="s">
        <v>546</v>
      </c>
      <c r="G325" s="8">
        <v>1.32E-2</v>
      </c>
    </row>
    <row r="326" spans="1:7" x14ac:dyDescent="0.25">
      <c r="A326" t="s">
        <v>547</v>
      </c>
      <c r="B326" s="7">
        <v>7229.6</v>
      </c>
      <c r="C326" s="7">
        <v>7199.59</v>
      </c>
      <c r="D326" s="7">
        <v>7287.56</v>
      </c>
      <c r="E326" s="7">
        <v>7196.84</v>
      </c>
      <c r="F326" t="s">
        <v>548</v>
      </c>
      <c r="G326" s="8">
        <v>2.0999999999999999E-3</v>
      </c>
    </row>
    <row r="327" spans="1:7" x14ac:dyDescent="0.25">
      <c r="A327" t="s">
        <v>549</v>
      </c>
      <c r="B327" s="7">
        <v>7214.46</v>
      </c>
      <c r="C327" s="7">
        <v>7309.61</v>
      </c>
      <c r="D327" s="7">
        <v>7343.77</v>
      </c>
      <c r="E327" s="7">
        <v>7210</v>
      </c>
      <c r="F327" t="s">
        <v>550</v>
      </c>
      <c r="G327" s="8">
        <v>-4.4000000000000003E-3</v>
      </c>
    </row>
    <row r="328" spans="1:7" x14ac:dyDescent="0.25">
      <c r="A328" t="s">
        <v>551</v>
      </c>
      <c r="B328" s="7">
        <v>7246.62</v>
      </c>
      <c r="C328" s="7">
        <v>7265.98</v>
      </c>
      <c r="D328" s="7">
        <v>7295.36</v>
      </c>
      <c r="E328" s="7">
        <v>7224.07</v>
      </c>
      <c r="F328" t="s">
        <v>552</v>
      </c>
      <c r="G328" s="8">
        <v>8.0000000000000004E-4</v>
      </c>
    </row>
    <row r="329" spans="1:7" x14ac:dyDescent="0.25">
      <c r="A329" t="s">
        <v>553</v>
      </c>
      <c r="B329" s="7">
        <v>7240.88</v>
      </c>
      <c r="C329" s="7">
        <v>7227.1</v>
      </c>
      <c r="D329" s="7">
        <v>7293.63</v>
      </c>
      <c r="E329" s="7">
        <v>7223.07</v>
      </c>
      <c r="F329" t="s">
        <v>141</v>
      </c>
      <c r="G329" s="8">
        <v>5.8999999999999999E-3</v>
      </c>
    </row>
    <row r="330" spans="1:7" x14ac:dyDescent="0.25">
      <c r="A330" t="s">
        <v>554</v>
      </c>
      <c r="B330" s="7">
        <v>7198.06</v>
      </c>
      <c r="C330" s="7">
        <v>7165.07</v>
      </c>
      <c r="D330" s="7">
        <v>7259.32</v>
      </c>
      <c r="E330" s="7">
        <v>7165.07</v>
      </c>
      <c r="F330" t="s">
        <v>555</v>
      </c>
      <c r="G330" s="8">
        <v>4.7000000000000002E-3</v>
      </c>
    </row>
    <row r="331" spans="1:7" x14ac:dyDescent="0.25">
      <c r="A331" t="s">
        <v>556</v>
      </c>
      <c r="B331" s="7">
        <v>7164.11</v>
      </c>
      <c r="C331" s="7">
        <v>7163.21</v>
      </c>
      <c r="D331" s="7">
        <v>7172.99</v>
      </c>
      <c r="E331" s="7">
        <v>7092.72</v>
      </c>
      <c r="F331" t="s">
        <v>557</v>
      </c>
      <c r="G331" s="8">
        <v>-3.8E-3</v>
      </c>
    </row>
    <row r="332" spans="1:7" x14ac:dyDescent="0.25">
      <c r="A332" t="s">
        <v>558</v>
      </c>
      <c r="B332" s="7">
        <v>7191.74</v>
      </c>
      <c r="C332" s="7">
        <v>7229.06</v>
      </c>
      <c r="D332" s="7">
        <v>7261.9</v>
      </c>
      <c r="E332" s="7">
        <v>7183.5</v>
      </c>
      <c r="F332" t="s">
        <v>559</v>
      </c>
      <c r="G332" s="8">
        <v>-9.4000000000000004E-3</v>
      </c>
    </row>
    <row r="333" spans="1:7" x14ac:dyDescent="0.25">
      <c r="A333" t="s">
        <v>560</v>
      </c>
      <c r="B333" s="7">
        <v>7260.25</v>
      </c>
      <c r="C333" s="7">
        <v>7246.73</v>
      </c>
      <c r="D333" s="7">
        <v>7301.11</v>
      </c>
      <c r="E333" s="7">
        <v>7241.1</v>
      </c>
      <c r="F333" t="s">
        <v>561</v>
      </c>
      <c r="G333" s="8">
        <v>-1E-3</v>
      </c>
    </row>
    <row r="334" spans="1:7" x14ac:dyDescent="0.25">
      <c r="A334" t="s">
        <v>562</v>
      </c>
      <c r="B334" s="7">
        <v>7267.7</v>
      </c>
      <c r="C334" s="7">
        <v>7355.08</v>
      </c>
      <c r="D334" s="7">
        <v>7357.71</v>
      </c>
      <c r="E334" s="7">
        <v>7236.56</v>
      </c>
      <c r="F334" t="s">
        <v>563</v>
      </c>
      <c r="G334" s="8">
        <v>-1.0999999999999999E-2</v>
      </c>
    </row>
    <row r="335" spans="1:7" x14ac:dyDescent="0.25">
      <c r="A335" t="s">
        <v>564</v>
      </c>
      <c r="B335" s="7">
        <v>7348.84</v>
      </c>
      <c r="C335" s="7">
        <v>7326.78</v>
      </c>
      <c r="D335" s="7">
        <v>7371.93</v>
      </c>
      <c r="E335" s="7">
        <v>7309.94</v>
      </c>
      <c r="F335" t="s">
        <v>565</v>
      </c>
      <c r="G335" s="8">
        <v>1.1999999999999999E-3</v>
      </c>
    </row>
    <row r="336" spans="1:7" x14ac:dyDescent="0.25">
      <c r="A336" s="9">
        <v>45238</v>
      </c>
      <c r="B336" s="7">
        <v>7340.19</v>
      </c>
      <c r="C336" s="7">
        <v>7391.25</v>
      </c>
      <c r="D336" s="7">
        <v>7406.89</v>
      </c>
      <c r="E336" s="7">
        <v>7317.76</v>
      </c>
      <c r="F336" t="s">
        <v>122</v>
      </c>
      <c r="G336" s="8">
        <v>-1.26E-2</v>
      </c>
    </row>
    <row r="337" spans="1:7" x14ac:dyDescent="0.25">
      <c r="A337" s="9">
        <v>45207</v>
      </c>
      <c r="B337" s="7">
        <v>7433.62</v>
      </c>
      <c r="C337" s="7">
        <v>7373.55</v>
      </c>
      <c r="D337" s="7">
        <v>7464.79</v>
      </c>
      <c r="E337" s="7">
        <v>7368.95</v>
      </c>
      <c r="F337" t="s">
        <v>566</v>
      </c>
      <c r="G337" s="8">
        <v>1.52E-2</v>
      </c>
    </row>
    <row r="338" spans="1:7" x14ac:dyDescent="0.25">
      <c r="A338" s="9">
        <v>45177</v>
      </c>
      <c r="B338" s="7">
        <v>7322.04</v>
      </c>
      <c r="C338" s="7">
        <v>7351.02</v>
      </c>
      <c r="D338" s="7">
        <v>7381.38</v>
      </c>
      <c r="E338" s="7">
        <v>7317.38</v>
      </c>
      <c r="F338" t="s">
        <v>567</v>
      </c>
      <c r="G338" s="8">
        <v>7.1999999999999998E-3</v>
      </c>
    </row>
    <row r="339" spans="1:7" x14ac:dyDescent="0.25">
      <c r="A339" s="9">
        <v>45146</v>
      </c>
      <c r="B339" s="7">
        <v>7269.47</v>
      </c>
      <c r="C339" s="7">
        <v>7271.05</v>
      </c>
      <c r="D339" s="7">
        <v>7325.73</v>
      </c>
      <c r="E339" s="7">
        <v>7219.12</v>
      </c>
      <c r="F339" t="s">
        <v>568</v>
      </c>
      <c r="G339" s="8">
        <v>-6.8999999999999999E-3</v>
      </c>
    </row>
    <row r="340" spans="1:7" x14ac:dyDescent="0.25">
      <c r="A340" s="9">
        <v>45115</v>
      </c>
      <c r="B340" s="7">
        <v>7319.76</v>
      </c>
      <c r="C340" s="7">
        <v>7290.37</v>
      </c>
      <c r="D340" s="7">
        <v>7330.24</v>
      </c>
      <c r="E340" s="7">
        <v>7269.48</v>
      </c>
      <c r="F340" t="s">
        <v>165</v>
      </c>
      <c r="G340" s="8">
        <v>5.9999999999999995E-4</v>
      </c>
    </row>
    <row r="341" spans="1:7" x14ac:dyDescent="0.25">
      <c r="A341" s="9">
        <v>45024</v>
      </c>
      <c r="B341" s="7">
        <v>7315.07</v>
      </c>
      <c r="C341" s="7">
        <v>7286.98</v>
      </c>
      <c r="D341" s="7">
        <v>7323.19</v>
      </c>
      <c r="E341" s="7">
        <v>7244.19</v>
      </c>
      <c r="F341" t="s">
        <v>569</v>
      </c>
      <c r="G341" s="8">
        <v>7.4999999999999997E-3</v>
      </c>
    </row>
    <row r="342" spans="1:7" x14ac:dyDescent="0.25">
      <c r="A342" s="9">
        <v>44993</v>
      </c>
      <c r="B342" s="7">
        <v>7260.53</v>
      </c>
      <c r="C342" s="7">
        <v>7256.06</v>
      </c>
      <c r="D342" s="7">
        <v>7271.83</v>
      </c>
      <c r="E342" s="7">
        <v>7213.87</v>
      </c>
      <c r="F342" t="s">
        <v>570</v>
      </c>
      <c r="G342" s="8">
        <v>-7.1999999999999998E-3</v>
      </c>
    </row>
    <row r="343" spans="1:7" x14ac:dyDescent="0.25">
      <c r="A343" s="9">
        <v>44965</v>
      </c>
      <c r="B343" s="7">
        <v>7312.84</v>
      </c>
      <c r="C343" s="7">
        <v>7312.91</v>
      </c>
      <c r="D343" s="7">
        <v>7377.01</v>
      </c>
      <c r="E343" s="7">
        <v>7287.04</v>
      </c>
      <c r="F343" t="s">
        <v>571</v>
      </c>
      <c r="G343" s="8">
        <v>-1.26E-2</v>
      </c>
    </row>
    <row r="344" spans="1:7" x14ac:dyDescent="0.25">
      <c r="A344" s="9">
        <v>44934</v>
      </c>
      <c r="B344" s="7">
        <v>7406.08</v>
      </c>
      <c r="C344" s="7">
        <v>7478.1</v>
      </c>
      <c r="D344" s="7">
        <v>7499.53</v>
      </c>
      <c r="E344" s="7">
        <v>7403.16</v>
      </c>
      <c r="F344" t="s">
        <v>572</v>
      </c>
      <c r="G344" s="8">
        <v>-1.2200000000000001E-2</v>
      </c>
    </row>
    <row r="345" spans="1:7" x14ac:dyDescent="0.25">
      <c r="A345" t="s">
        <v>573</v>
      </c>
      <c r="B345" s="7">
        <v>7497.78</v>
      </c>
      <c r="C345" s="7">
        <v>7473.12</v>
      </c>
      <c r="D345" s="7">
        <v>7526.05</v>
      </c>
      <c r="E345" s="7">
        <v>7464.65</v>
      </c>
      <c r="F345" t="s">
        <v>574</v>
      </c>
      <c r="G345" s="8">
        <v>2.8999999999999998E-3</v>
      </c>
    </row>
    <row r="346" spans="1:7" x14ac:dyDescent="0.25">
      <c r="A346" t="s">
        <v>575</v>
      </c>
      <c r="B346" s="7">
        <v>7476.47</v>
      </c>
      <c r="C346" s="7">
        <v>7449.2</v>
      </c>
      <c r="D346" s="7">
        <v>7498.94</v>
      </c>
      <c r="E346" s="7">
        <v>7416.2</v>
      </c>
      <c r="F346" t="s">
        <v>576</v>
      </c>
      <c r="G346" s="8">
        <v>1.5E-3</v>
      </c>
    </row>
    <row r="347" spans="1:7" x14ac:dyDescent="0.25">
      <c r="A347" t="s">
        <v>577</v>
      </c>
      <c r="B347" s="7">
        <v>7465.24</v>
      </c>
      <c r="C347" s="7">
        <v>7358.66</v>
      </c>
      <c r="D347" s="7">
        <v>7477.11</v>
      </c>
      <c r="E347" s="7">
        <v>7340.03</v>
      </c>
      <c r="F347" t="s">
        <v>578</v>
      </c>
      <c r="G347" s="8">
        <v>2.0500000000000001E-2</v>
      </c>
    </row>
    <row r="348" spans="1:7" x14ac:dyDescent="0.25">
      <c r="A348" t="s">
        <v>579</v>
      </c>
      <c r="B348" s="7">
        <v>7315.07</v>
      </c>
      <c r="C348" s="7">
        <v>7363.54</v>
      </c>
      <c r="D348" s="7">
        <v>7369.07</v>
      </c>
      <c r="E348" s="7">
        <v>7251.02</v>
      </c>
      <c r="F348" t="s">
        <v>580</v>
      </c>
      <c r="G348" s="8">
        <v>-1.35E-2</v>
      </c>
    </row>
    <row r="349" spans="1:7" x14ac:dyDescent="0.25">
      <c r="A349" t="s">
        <v>581</v>
      </c>
      <c r="B349" s="7">
        <v>7415.45</v>
      </c>
      <c r="C349" s="7">
        <v>7449.94</v>
      </c>
      <c r="D349" s="7">
        <v>7450.37</v>
      </c>
      <c r="E349" s="7">
        <v>7401.83</v>
      </c>
      <c r="F349" t="s">
        <v>582</v>
      </c>
      <c r="G349" s="8">
        <v>-1.6000000000000001E-3</v>
      </c>
    </row>
    <row r="350" spans="1:7" x14ac:dyDescent="0.25">
      <c r="A350" t="s">
        <v>583</v>
      </c>
      <c r="B350" s="7">
        <v>7427.31</v>
      </c>
      <c r="C350" s="7">
        <v>7405.66</v>
      </c>
      <c r="D350" s="7">
        <v>7435.93</v>
      </c>
      <c r="E350" s="7">
        <v>7390.82</v>
      </c>
      <c r="F350" t="s">
        <v>584</v>
      </c>
      <c r="G350" s="8">
        <v>-6.9999999999999999E-4</v>
      </c>
    </row>
    <row r="351" spans="1:7" x14ac:dyDescent="0.25">
      <c r="A351" t="s">
        <v>585</v>
      </c>
      <c r="B351" s="7">
        <v>7432.77</v>
      </c>
      <c r="C351" s="7">
        <v>7389.51</v>
      </c>
      <c r="D351" s="7">
        <v>7433.31</v>
      </c>
      <c r="E351" s="7">
        <v>7379.62</v>
      </c>
      <c r="F351" t="s">
        <v>586</v>
      </c>
      <c r="G351" s="8">
        <v>6.4999999999999997E-3</v>
      </c>
    </row>
    <row r="352" spans="1:7" x14ac:dyDescent="0.25">
      <c r="A352" t="s">
        <v>587</v>
      </c>
      <c r="B352" s="7">
        <v>7384.91</v>
      </c>
      <c r="C352" s="7">
        <v>7302.22</v>
      </c>
      <c r="D352" s="7">
        <v>7391.45</v>
      </c>
      <c r="E352" s="7">
        <v>7301.12</v>
      </c>
      <c r="F352" t="s">
        <v>588</v>
      </c>
      <c r="G352" s="8">
        <v>7.9000000000000008E-3</v>
      </c>
    </row>
    <row r="353" spans="1:7" x14ac:dyDescent="0.25">
      <c r="A353" t="s">
        <v>589</v>
      </c>
      <c r="B353" s="7">
        <v>7326.94</v>
      </c>
      <c r="C353" s="7">
        <v>7369.8</v>
      </c>
      <c r="D353" s="7">
        <v>7382.89</v>
      </c>
      <c r="E353" s="7">
        <v>7317.54</v>
      </c>
      <c r="F353" t="s">
        <v>590</v>
      </c>
      <c r="G353" s="8">
        <v>1.1000000000000001E-3</v>
      </c>
    </row>
    <row r="354" spans="1:7" x14ac:dyDescent="0.25">
      <c r="A354" t="s">
        <v>591</v>
      </c>
      <c r="B354" s="7">
        <v>7319.18</v>
      </c>
      <c r="C354" s="7">
        <v>7280.19</v>
      </c>
      <c r="D354" s="7">
        <v>7326.72</v>
      </c>
      <c r="E354" s="7">
        <v>7275.52</v>
      </c>
      <c r="F354" t="s">
        <v>592</v>
      </c>
      <c r="G354" s="8">
        <v>3.8E-3</v>
      </c>
    </row>
    <row r="355" spans="1:7" x14ac:dyDescent="0.25">
      <c r="A355" t="s">
        <v>593</v>
      </c>
      <c r="B355" s="7">
        <v>7291.66</v>
      </c>
      <c r="C355" s="7">
        <v>7314.17</v>
      </c>
      <c r="D355" s="7">
        <v>7332.5</v>
      </c>
      <c r="E355" s="7">
        <v>7268.73</v>
      </c>
      <c r="F355" t="s">
        <v>594</v>
      </c>
      <c r="G355" s="8">
        <v>-1.12E-2</v>
      </c>
    </row>
    <row r="356" spans="1:7" x14ac:dyDescent="0.25">
      <c r="A356" t="s">
        <v>595</v>
      </c>
      <c r="B356" s="7">
        <v>7374.54</v>
      </c>
      <c r="C356" s="7">
        <v>7353.92</v>
      </c>
      <c r="D356" s="7">
        <v>7403.15</v>
      </c>
      <c r="E356" s="7">
        <v>7353.92</v>
      </c>
      <c r="F356" t="s">
        <v>596</v>
      </c>
      <c r="G356" s="8">
        <v>5.9999999999999995E-4</v>
      </c>
    </row>
    <row r="357" spans="1:7" x14ac:dyDescent="0.25">
      <c r="A357" t="s">
        <v>597</v>
      </c>
      <c r="B357" s="7">
        <v>7369.8</v>
      </c>
      <c r="C357" s="7">
        <v>7346.56</v>
      </c>
      <c r="D357" s="7">
        <v>7409.01</v>
      </c>
      <c r="E357" s="7">
        <v>7335.61</v>
      </c>
      <c r="F357" t="s">
        <v>530</v>
      </c>
      <c r="G357" s="8">
        <v>5.0000000000000001E-3</v>
      </c>
    </row>
    <row r="358" spans="1:7" x14ac:dyDescent="0.25">
      <c r="A358" s="9">
        <v>45267</v>
      </c>
      <c r="B358" s="7">
        <v>7333.01</v>
      </c>
      <c r="C358" s="7">
        <v>7241.06</v>
      </c>
      <c r="D358" s="7">
        <v>7348.06</v>
      </c>
      <c r="E358" s="7">
        <v>7231.33</v>
      </c>
      <c r="F358" t="s">
        <v>598</v>
      </c>
      <c r="G358" s="8">
        <v>1.5699999999999999E-2</v>
      </c>
    </row>
    <row r="359" spans="1:7" x14ac:dyDescent="0.25">
      <c r="A359" s="9">
        <v>45237</v>
      </c>
      <c r="B359" s="7">
        <v>7220.01</v>
      </c>
      <c r="C359" s="7">
        <v>7176.18</v>
      </c>
      <c r="D359" s="7">
        <v>7244.96</v>
      </c>
      <c r="E359" s="7">
        <v>7172.14</v>
      </c>
      <c r="F359" t="s">
        <v>599</v>
      </c>
      <c r="G359" s="8">
        <v>1.0699999999999999E-2</v>
      </c>
    </row>
    <row r="360" spans="1:7" x14ac:dyDescent="0.25">
      <c r="A360" s="9">
        <v>45206</v>
      </c>
      <c r="B360" s="7">
        <v>7143.69</v>
      </c>
      <c r="C360" s="7">
        <v>7082.46</v>
      </c>
      <c r="D360" s="7">
        <v>7173.65</v>
      </c>
      <c r="E360" s="7">
        <v>7082.46</v>
      </c>
      <c r="F360" t="s">
        <v>600</v>
      </c>
      <c r="G360" s="8">
        <v>4.4999999999999997E-3</v>
      </c>
    </row>
    <row r="361" spans="1:7" x14ac:dyDescent="0.25">
      <c r="A361" s="9">
        <v>45114</v>
      </c>
      <c r="B361" s="7">
        <v>7111.88</v>
      </c>
      <c r="C361" s="7">
        <v>7098.75</v>
      </c>
      <c r="D361" s="7">
        <v>7151.07</v>
      </c>
      <c r="E361" s="7">
        <v>7052.77</v>
      </c>
      <c r="F361" t="s">
        <v>601</v>
      </c>
      <c r="G361" s="8">
        <v>4.1999999999999997E-3</v>
      </c>
    </row>
    <row r="362" spans="1:7" x14ac:dyDescent="0.25">
      <c r="A362" s="9">
        <v>45084</v>
      </c>
      <c r="B362" s="7">
        <v>7082.29</v>
      </c>
      <c r="C362" s="7">
        <v>7239.9</v>
      </c>
      <c r="D362" s="7">
        <v>7240.2</v>
      </c>
      <c r="E362" s="7">
        <v>7065.26</v>
      </c>
      <c r="F362" t="s">
        <v>602</v>
      </c>
      <c r="G362" s="8">
        <v>-3.1300000000000001E-2</v>
      </c>
    </row>
    <row r="363" spans="1:7" x14ac:dyDescent="0.25">
      <c r="A363" s="9">
        <v>45053</v>
      </c>
      <c r="B363" s="7">
        <v>7310.81</v>
      </c>
      <c r="C363" s="7">
        <v>7327.78</v>
      </c>
      <c r="D363" s="7">
        <v>7352.12</v>
      </c>
      <c r="E363" s="7">
        <v>7294.6</v>
      </c>
      <c r="F363" t="s">
        <v>114</v>
      </c>
      <c r="G363" s="8">
        <v>-8.0000000000000002E-3</v>
      </c>
    </row>
    <row r="364" spans="1:7" x14ac:dyDescent="0.25">
      <c r="A364" s="9">
        <v>45023</v>
      </c>
      <c r="B364" s="7">
        <v>7369.93</v>
      </c>
      <c r="C364" s="7">
        <v>7390.91</v>
      </c>
      <c r="D364" s="7">
        <v>7401.46</v>
      </c>
      <c r="E364" s="7">
        <v>7368.97</v>
      </c>
      <c r="F364" t="s">
        <v>603</v>
      </c>
      <c r="G364" s="8">
        <v>-2.3E-3</v>
      </c>
    </row>
    <row r="365" spans="1:7" x14ac:dyDescent="0.25">
      <c r="A365" s="9">
        <v>44992</v>
      </c>
      <c r="B365" s="7">
        <v>7386.7</v>
      </c>
      <c r="C365" s="7">
        <v>7415.17</v>
      </c>
      <c r="D365" s="7">
        <v>7426.6</v>
      </c>
      <c r="E365" s="7">
        <v>7386.7</v>
      </c>
      <c r="F365" t="s">
        <v>604</v>
      </c>
      <c r="G365" s="8">
        <v>-1.8E-3</v>
      </c>
    </row>
    <row r="366" spans="1:7" x14ac:dyDescent="0.25">
      <c r="A366" t="s">
        <v>605</v>
      </c>
      <c r="B366" s="7">
        <v>7400.06</v>
      </c>
      <c r="C366" s="7">
        <v>7339.89</v>
      </c>
      <c r="D366" s="7">
        <v>7419.36</v>
      </c>
      <c r="E366" s="7">
        <v>7337.28</v>
      </c>
      <c r="F366" t="s">
        <v>606</v>
      </c>
      <c r="G366" s="8">
        <v>1.1900000000000001E-2</v>
      </c>
    </row>
    <row r="367" spans="1:7" x14ac:dyDescent="0.25">
      <c r="A367" t="s">
        <v>607</v>
      </c>
      <c r="B367" s="7">
        <v>7312.73</v>
      </c>
      <c r="C367" s="7">
        <v>7295.76</v>
      </c>
      <c r="D367" s="7">
        <v>7349.18</v>
      </c>
      <c r="E367" s="7">
        <v>7288.65</v>
      </c>
      <c r="F367" t="s">
        <v>608</v>
      </c>
      <c r="G367" s="8">
        <v>3.5999999999999999E-3</v>
      </c>
    </row>
    <row r="368" spans="1:7" x14ac:dyDescent="0.25">
      <c r="A368" t="s">
        <v>609</v>
      </c>
      <c r="B368" s="7">
        <v>7286.32</v>
      </c>
      <c r="C368" s="7">
        <v>7250.68</v>
      </c>
      <c r="D368" s="7">
        <v>7292.89</v>
      </c>
      <c r="E368" s="7">
        <v>7250.68</v>
      </c>
      <c r="F368" t="s">
        <v>610</v>
      </c>
      <c r="G368" s="8">
        <v>9.7999999999999997E-3</v>
      </c>
    </row>
    <row r="369" spans="1:7" x14ac:dyDescent="0.25">
      <c r="A369" t="s">
        <v>611</v>
      </c>
      <c r="B369" s="7">
        <v>7215.58</v>
      </c>
      <c r="C369" s="7">
        <v>7212.83</v>
      </c>
      <c r="D369" s="7">
        <v>7236.21</v>
      </c>
      <c r="E369" s="7">
        <v>7161.72</v>
      </c>
      <c r="F369" t="s">
        <v>612</v>
      </c>
      <c r="G369" s="8">
        <v>4.3E-3</v>
      </c>
    </row>
    <row r="370" spans="1:7" x14ac:dyDescent="0.25">
      <c r="A370" t="s">
        <v>613</v>
      </c>
      <c r="B370" s="7">
        <v>7184.35</v>
      </c>
      <c r="C370" s="7">
        <v>7175.88</v>
      </c>
      <c r="D370" s="7">
        <v>7203.46</v>
      </c>
      <c r="E370" s="7">
        <v>7105.72</v>
      </c>
      <c r="F370" t="s">
        <v>614</v>
      </c>
      <c r="G370" s="8">
        <v>2.8999999999999998E-3</v>
      </c>
    </row>
    <row r="371" spans="1:7" x14ac:dyDescent="0.25">
      <c r="A371" t="s">
        <v>615</v>
      </c>
      <c r="B371" s="7">
        <v>7163.42</v>
      </c>
      <c r="C371" s="7">
        <v>7165.38</v>
      </c>
      <c r="D371" s="7">
        <v>7193.78</v>
      </c>
      <c r="E371" s="7">
        <v>7128.64</v>
      </c>
      <c r="F371" t="s">
        <v>616</v>
      </c>
      <c r="G371" s="8">
        <v>-5.4999999999999997E-3</v>
      </c>
    </row>
    <row r="372" spans="1:7" x14ac:dyDescent="0.25">
      <c r="A372" t="s">
        <v>617</v>
      </c>
      <c r="B372" s="7">
        <v>7203.28</v>
      </c>
      <c r="C372" s="7">
        <v>7194.26</v>
      </c>
      <c r="D372" s="7">
        <v>7206.89</v>
      </c>
      <c r="E372" s="7">
        <v>7145.06</v>
      </c>
      <c r="F372" t="s">
        <v>618</v>
      </c>
      <c r="G372" s="8">
        <v>-7.9000000000000008E-3</v>
      </c>
    </row>
    <row r="373" spans="1:7" x14ac:dyDescent="0.25">
      <c r="A373" t="s">
        <v>619</v>
      </c>
      <c r="B373" s="7">
        <v>7260.97</v>
      </c>
      <c r="C373" s="7">
        <v>7273.89</v>
      </c>
      <c r="D373" s="7">
        <v>7297.85</v>
      </c>
      <c r="E373" s="7">
        <v>7246.86</v>
      </c>
      <c r="F373" t="s">
        <v>620</v>
      </c>
      <c r="G373" s="8">
        <v>-4.5999999999999999E-3</v>
      </c>
    </row>
    <row r="374" spans="1:7" x14ac:dyDescent="0.25">
      <c r="A374" t="s">
        <v>621</v>
      </c>
      <c r="B374" s="7">
        <v>7294.17</v>
      </c>
      <c r="C374" s="7">
        <v>7303.24</v>
      </c>
      <c r="D374" s="7">
        <v>7322.57</v>
      </c>
      <c r="E374" s="7">
        <v>7281.12</v>
      </c>
      <c r="F374" t="s">
        <v>622</v>
      </c>
      <c r="G374" s="8">
        <v>-2.7000000000000001E-3</v>
      </c>
    </row>
    <row r="375" spans="1:7" x14ac:dyDescent="0.25">
      <c r="A375" t="s">
        <v>623</v>
      </c>
      <c r="B375" s="7">
        <v>7314.05</v>
      </c>
      <c r="C375" s="7">
        <v>7353.31</v>
      </c>
      <c r="D375" s="7">
        <v>7362.44</v>
      </c>
      <c r="E375" s="7">
        <v>7302.63</v>
      </c>
      <c r="F375" t="s">
        <v>624</v>
      </c>
      <c r="G375" s="8">
        <v>-1.01E-2</v>
      </c>
    </row>
    <row r="376" spans="1:7" x14ac:dyDescent="0.25">
      <c r="A376" t="s">
        <v>625</v>
      </c>
      <c r="B376" s="7">
        <v>7388.65</v>
      </c>
      <c r="C376" s="7">
        <v>7312.07</v>
      </c>
      <c r="D376" s="7">
        <v>7403.88</v>
      </c>
      <c r="E376" s="7">
        <v>7297.73</v>
      </c>
      <c r="F376" t="s">
        <v>626</v>
      </c>
      <c r="G376" s="8">
        <v>1.34E-2</v>
      </c>
    </row>
    <row r="377" spans="1:7" x14ac:dyDescent="0.25">
      <c r="A377" t="s">
        <v>627</v>
      </c>
      <c r="B377" s="7">
        <v>7290.91</v>
      </c>
      <c r="C377" s="7">
        <v>7304.97</v>
      </c>
      <c r="D377" s="7">
        <v>7313.47</v>
      </c>
      <c r="E377" s="7">
        <v>7246.33</v>
      </c>
      <c r="F377" t="s">
        <v>628</v>
      </c>
      <c r="G377" s="8">
        <v>-5.1000000000000004E-3</v>
      </c>
    </row>
    <row r="378" spans="1:7" x14ac:dyDescent="0.25">
      <c r="A378" t="s">
        <v>629</v>
      </c>
      <c r="B378" s="7">
        <v>7328.53</v>
      </c>
      <c r="C378" s="7">
        <v>7290.94</v>
      </c>
      <c r="D378" s="7">
        <v>7358.99</v>
      </c>
      <c r="E378" s="7">
        <v>7288.46</v>
      </c>
      <c r="F378" t="s">
        <v>630</v>
      </c>
      <c r="G378" s="8">
        <v>5.1999999999999998E-3</v>
      </c>
    </row>
    <row r="379" spans="1:7" x14ac:dyDescent="0.25">
      <c r="A379" t="s">
        <v>631</v>
      </c>
      <c r="B379" s="7">
        <v>7290.8</v>
      </c>
      <c r="C379" s="7">
        <v>7290.31</v>
      </c>
      <c r="D379" s="7">
        <v>7308</v>
      </c>
      <c r="E379" s="7">
        <v>7244.42</v>
      </c>
      <c r="F379" t="s">
        <v>632</v>
      </c>
      <c r="G379" s="8">
        <v>5.5999999999999999E-3</v>
      </c>
    </row>
    <row r="380" spans="1:7" x14ac:dyDescent="0.25">
      <c r="A380" s="9">
        <v>45266</v>
      </c>
      <c r="B380" s="7">
        <v>7250.35</v>
      </c>
      <c r="C380" s="7">
        <v>7250.15</v>
      </c>
      <c r="D380" s="7">
        <v>7283.33</v>
      </c>
      <c r="E380" s="7">
        <v>7237.85</v>
      </c>
      <c r="F380" t="s">
        <v>303</v>
      </c>
      <c r="G380" s="8">
        <v>5.1999999999999998E-3</v>
      </c>
    </row>
    <row r="381" spans="1:7" x14ac:dyDescent="0.25">
      <c r="A381" s="9">
        <v>45175</v>
      </c>
      <c r="B381" s="7">
        <v>7213.14</v>
      </c>
      <c r="C381" s="7">
        <v>7230.95</v>
      </c>
      <c r="D381" s="7">
        <v>7239.52</v>
      </c>
      <c r="E381" s="7">
        <v>7185.26</v>
      </c>
      <c r="F381" t="s">
        <v>633</v>
      </c>
      <c r="G381" s="8">
        <v>-1.1999999999999999E-3</v>
      </c>
    </row>
    <row r="382" spans="1:7" x14ac:dyDescent="0.25">
      <c r="A382" s="9">
        <v>45144</v>
      </c>
      <c r="B382" s="7">
        <v>7222.15</v>
      </c>
      <c r="C382" s="7">
        <v>7196.22</v>
      </c>
      <c r="D382" s="7">
        <v>7236.15</v>
      </c>
      <c r="E382" s="7">
        <v>7184.19</v>
      </c>
      <c r="F382" t="s">
        <v>634</v>
      </c>
      <c r="G382" s="8">
        <v>2.7000000000000001E-3</v>
      </c>
    </row>
    <row r="383" spans="1:7" x14ac:dyDescent="0.25">
      <c r="A383" s="9">
        <v>45113</v>
      </c>
      <c r="B383" s="7">
        <v>7202.79</v>
      </c>
      <c r="C383" s="7">
        <v>7198.24</v>
      </c>
      <c r="D383" s="7">
        <v>7227.59</v>
      </c>
      <c r="E383" s="7">
        <v>7170.94</v>
      </c>
      <c r="F383" t="s">
        <v>635</v>
      </c>
      <c r="G383" s="8">
        <v>-8.9999999999999998E-4</v>
      </c>
    </row>
    <row r="384" spans="1:7" x14ac:dyDescent="0.25">
      <c r="A384" s="9">
        <v>45083</v>
      </c>
      <c r="B384" s="7">
        <v>7209</v>
      </c>
      <c r="C384" s="7">
        <v>7189.63</v>
      </c>
      <c r="D384" s="7">
        <v>7219.37</v>
      </c>
      <c r="E384" s="7">
        <v>7175.6</v>
      </c>
      <c r="F384" t="s">
        <v>129</v>
      </c>
      <c r="G384" s="8">
        <v>1.1000000000000001E-3</v>
      </c>
    </row>
    <row r="385" spans="1:7" x14ac:dyDescent="0.25">
      <c r="A385" s="9">
        <v>45052</v>
      </c>
      <c r="B385" s="7">
        <v>7200.91</v>
      </c>
      <c r="C385" s="7">
        <v>7294.81</v>
      </c>
      <c r="D385" s="7">
        <v>7294.81</v>
      </c>
      <c r="E385" s="7">
        <v>7193.37</v>
      </c>
      <c r="F385" t="s">
        <v>636</v>
      </c>
      <c r="G385" s="8">
        <v>-9.5999999999999992E-3</v>
      </c>
    </row>
    <row r="386" spans="1:7" x14ac:dyDescent="0.25">
      <c r="A386" s="9">
        <v>44963</v>
      </c>
      <c r="B386" s="7">
        <v>7270.69</v>
      </c>
      <c r="C386" s="7">
        <v>7181.8</v>
      </c>
      <c r="D386" s="7">
        <v>7278</v>
      </c>
      <c r="E386" s="7">
        <v>7179.31</v>
      </c>
      <c r="F386" t="s">
        <v>637</v>
      </c>
      <c r="G386" s="8">
        <v>1.8700000000000001E-2</v>
      </c>
    </row>
    <row r="387" spans="1:7" x14ac:dyDescent="0.25">
      <c r="A387" s="9">
        <v>44932</v>
      </c>
      <c r="B387" s="7">
        <v>7137.43</v>
      </c>
      <c r="C387" s="7">
        <v>7139.39</v>
      </c>
      <c r="D387" s="7">
        <v>7171.6</v>
      </c>
      <c r="E387" s="7">
        <v>7090.46</v>
      </c>
      <c r="F387" t="s">
        <v>638</v>
      </c>
      <c r="G387" s="8">
        <v>5.4999999999999997E-3</v>
      </c>
    </row>
    <row r="388" spans="1:7" x14ac:dyDescent="0.25">
      <c r="A388" t="s">
        <v>639</v>
      </c>
      <c r="B388" s="7">
        <v>7098.7</v>
      </c>
      <c r="C388" s="7">
        <v>7136.17</v>
      </c>
      <c r="D388" s="7">
        <v>7185.13</v>
      </c>
      <c r="E388" s="7">
        <v>7083.6</v>
      </c>
      <c r="F388" t="s">
        <v>640</v>
      </c>
      <c r="G388" s="8">
        <v>-1.54E-2</v>
      </c>
    </row>
    <row r="389" spans="1:7" x14ac:dyDescent="0.25">
      <c r="A389" t="s">
        <v>641</v>
      </c>
      <c r="B389" s="7">
        <v>7209.75</v>
      </c>
      <c r="C389" s="7">
        <v>7279.88</v>
      </c>
      <c r="D389" s="7">
        <v>7296.38</v>
      </c>
      <c r="E389" s="7">
        <v>7195.38</v>
      </c>
      <c r="F389" t="s">
        <v>642</v>
      </c>
      <c r="G389" s="8">
        <v>-1.29E-2</v>
      </c>
    </row>
    <row r="390" spans="1:7" x14ac:dyDescent="0.25">
      <c r="A390" t="s">
        <v>643</v>
      </c>
      <c r="B390" s="7">
        <v>7303.81</v>
      </c>
      <c r="C390" s="7">
        <v>7352.93</v>
      </c>
      <c r="D390" s="7">
        <v>7356.57</v>
      </c>
      <c r="E390" s="7">
        <v>7292.11</v>
      </c>
      <c r="F390" t="s">
        <v>644</v>
      </c>
      <c r="G390" s="8">
        <v>-2.0999999999999999E-3</v>
      </c>
    </row>
    <row r="391" spans="1:7" x14ac:dyDescent="0.25">
      <c r="A391" t="s">
        <v>645</v>
      </c>
      <c r="B391" s="7">
        <v>7319.18</v>
      </c>
      <c r="C391" s="7">
        <v>7256.5</v>
      </c>
      <c r="D391" s="7">
        <v>7334.31</v>
      </c>
      <c r="E391" s="7">
        <v>7208.44</v>
      </c>
      <c r="F391" t="s">
        <v>646</v>
      </c>
      <c r="G391" s="8">
        <v>1.24E-2</v>
      </c>
    </row>
    <row r="392" spans="1:7" x14ac:dyDescent="0.25">
      <c r="A392" t="s">
        <v>647</v>
      </c>
      <c r="B392" s="7">
        <v>7229.27</v>
      </c>
      <c r="C392" s="7">
        <v>7261.05</v>
      </c>
      <c r="D392" s="7">
        <v>7261.05</v>
      </c>
      <c r="E392" s="7">
        <v>7197.4</v>
      </c>
      <c r="F392" t="s">
        <v>648</v>
      </c>
      <c r="G392" s="8">
        <v>-3.3E-3</v>
      </c>
    </row>
    <row r="393" spans="1:7" x14ac:dyDescent="0.25">
      <c r="A393" t="s">
        <v>649</v>
      </c>
      <c r="B393" s="7">
        <v>7253.46</v>
      </c>
      <c r="C393" s="7">
        <v>7306.14</v>
      </c>
      <c r="D393" s="7">
        <v>7308.59</v>
      </c>
      <c r="E393" s="7">
        <v>7223.58</v>
      </c>
      <c r="F393" t="s">
        <v>650</v>
      </c>
      <c r="G393" s="8">
        <v>-1.7000000000000001E-2</v>
      </c>
    </row>
    <row r="394" spans="1:7" x14ac:dyDescent="0.25">
      <c r="A394" t="s">
        <v>651</v>
      </c>
      <c r="B394" s="7">
        <v>7378.71</v>
      </c>
      <c r="C394" s="7">
        <v>7457.18</v>
      </c>
      <c r="D394" s="7">
        <v>7459.37</v>
      </c>
      <c r="E394" s="7">
        <v>7378.71</v>
      </c>
      <c r="F394" t="s">
        <v>652</v>
      </c>
      <c r="G394" s="8">
        <v>-1.3299999999999999E-2</v>
      </c>
    </row>
    <row r="395" spans="1:7" x14ac:dyDescent="0.25">
      <c r="A395" t="s">
        <v>653</v>
      </c>
      <c r="B395" s="7">
        <v>7478.16</v>
      </c>
      <c r="C395" s="7">
        <v>7467.93</v>
      </c>
      <c r="D395" s="7">
        <v>7493.38</v>
      </c>
      <c r="E395" s="7">
        <v>7452.69</v>
      </c>
      <c r="F395" t="s">
        <v>654</v>
      </c>
      <c r="G395" s="8">
        <v>-1.8E-3</v>
      </c>
    </row>
    <row r="396" spans="1:7" x14ac:dyDescent="0.25">
      <c r="A396" t="s">
        <v>655</v>
      </c>
      <c r="B396" s="7">
        <v>7491.96</v>
      </c>
      <c r="C396" s="7">
        <v>7469.78</v>
      </c>
      <c r="D396" s="7">
        <v>7523.56</v>
      </c>
      <c r="E396" s="7">
        <v>7463.96</v>
      </c>
      <c r="F396" t="s">
        <v>656</v>
      </c>
      <c r="G396" s="8">
        <v>6.1000000000000004E-3</v>
      </c>
    </row>
    <row r="397" spans="1:7" x14ac:dyDescent="0.25">
      <c r="A397" t="s">
        <v>657</v>
      </c>
      <c r="B397" s="7">
        <v>7446.89</v>
      </c>
      <c r="C397" s="7">
        <v>7440.75</v>
      </c>
      <c r="D397" s="7">
        <v>7481.78</v>
      </c>
      <c r="E397" s="7">
        <v>7426.39</v>
      </c>
      <c r="F397" t="s">
        <v>658</v>
      </c>
      <c r="G397" s="8">
        <v>6.4000000000000003E-3</v>
      </c>
    </row>
    <row r="398" spans="1:7" x14ac:dyDescent="0.25">
      <c r="A398" t="s">
        <v>659</v>
      </c>
      <c r="B398" s="7">
        <v>7399.44</v>
      </c>
      <c r="C398" s="7">
        <v>7378.83</v>
      </c>
      <c r="D398" s="7">
        <v>7422.58</v>
      </c>
      <c r="E398" s="7">
        <v>7354.54</v>
      </c>
      <c r="F398" t="s">
        <v>660</v>
      </c>
      <c r="G398" s="8">
        <v>-8.9999999999999998E-4</v>
      </c>
    </row>
    <row r="399" spans="1:7" x14ac:dyDescent="0.25">
      <c r="A399" t="s">
        <v>661</v>
      </c>
      <c r="B399" s="7">
        <v>7406.01</v>
      </c>
      <c r="C399" s="7">
        <v>7394.85</v>
      </c>
      <c r="D399" s="7">
        <v>7427.57</v>
      </c>
      <c r="E399" s="7">
        <v>7377.81</v>
      </c>
      <c r="F399" t="s">
        <v>662</v>
      </c>
      <c r="G399" s="8">
        <v>-1.6000000000000001E-3</v>
      </c>
    </row>
    <row r="400" spans="1:7" x14ac:dyDescent="0.25">
      <c r="A400" t="s">
        <v>663</v>
      </c>
      <c r="B400" s="7">
        <v>7418.21</v>
      </c>
      <c r="C400" s="7">
        <v>7443.38</v>
      </c>
      <c r="D400" s="7">
        <v>7455.63</v>
      </c>
      <c r="E400" s="7">
        <v>7397.86</v>
      </c>
      <c r="F400" t="s">
        <v>664</v>
      </c>
      <c r="G400" s="8">
        <v>5.0000000000000001E-4</v>
      </c>
    </row>
    <row r="401" spans="1:7" x14ac:dyDescent="0.25">
      <c r="A401" s="9">
        <v>45265</v>
      </c>
      <c r="B401" s="7">
        <v>7414.85</v>
      </c>
      <c r="C401" s="7">
        <v>7420.41</v>
      </c>
      <c r="D401" s="7">
        <v>7463.7</v>
      </c>
      <c r="E401" s="7">
        <v>7395.6</v>
      </c>
      <c r="F401" t="s">
        <v>665</v>
      </c>
      <c r="G401" s="8">
        <v>4.4999999999999997E-3</v>
      </c>
    </row>
    <row r="402" spans="1:7" x14ac:dyDescent="0.25">
      <c r="A402" s="9">
        <v>45235</v>
      </c>
      <c r="B402" s="7">
        <v>7381.78</v>
      </c>
      <c r="C402" s="7">
        <v>7383.58</v>
      </c>
      <c r="D402" s="7">
        <v>7436.94</v>
      </c>
      <c r="E402" s="7">
        <v>7333.92</v>
      </c>
      <c r="F402" t="s">
        <v>666</v>
      </c>
      <c r="G402" s="8">
        <v>2.8E-3</v>
      </c>
    </row>
    <row r="403" spans="1:7" x14ac:dyDescent="0.25">
      <c r="A403" s="9">
        <v>45204</v>
      </c>
      <c r="B403" s="7">
        <v>7361.2</v>
      </c>
      <c r="C403" s="7">
        <v>7403.62</v>
      </c>
      <c r="D403" s="7">
        <v>7416.32</v>
      </c>
      <c r="E403" s="7">
        <v>7337.66</v>
      </c>
      <c r="F403" t="s">
        <v>667</v>
      </c>
      <c r="G403" s="8">
        <v>-4.8999999999999998E-3</v>
      </c>
    </row>
    <row r="404" spans="1:7" x14ac:dyDescent="0.25">
      <c r="A404" s="9">
        <v>45174</v>
      </c>
      <c r="B404" s="7">
        <v>7397.17</v>
      </c>
      <c r="C404" s="7">
        <v>7415.01</v>
      </c>
      <c r="D404" s="7">
        <v>7419.9</v>
      </c>
      <c r="E404" s="7">
        <v>7358.45</v>
      </c>
      <c r="F404" t="s">
        <v>668</v>
      </c>
      <c r="G404" s="8">
        <v>-5.8999999999999999E-3</v>
      </c>
    </row>
    <row r="405" spans="1:7" x14ac:dyDescent="0.25">
      <c r="A405" s="9">
        <v>45143</v>
      </c>
      <c r="B405" s="7">
        <v>7440.91</v>
      </c>
      <c r="C405" s="7">
        <v>7427.96</v>
      </c>
      <c r="D405" s="7">
        <v>7456.46</v>
      </c>
      <c r="E405" s="7">
        <v>7416.22</v>
      </c>
      <c r="F405" t="s">
        <v>669</v>
      </c>
      <c r="G405" s="8">
        <v>1.1000000000000001E-3</v>
      </c>
    </row>
    <row r="406" spans="1:7" x14ac:dyDescent="0.25">
      <c r="A406" s="9">
        <v>45051</v>
      </c>
      <c r="B406" s="7">
        <v>7432.93</v>
      </c>
      <c r="C406" s="7">
        <v>7388.01</v>
      </c>
      <c r="D406" s="7">
        <v>7437.6</v>
      </c>
      <c r="E406" s="7">
        <v>7354.6</v>
      </c>
      <c r="F406" t="s">
        <v>361</v>
      </c>
      <c r="G406" s="8">
        <v>1.26E-2</v>
      </c>
    </row>
    <row r="407" spans="1:7" x14ac:dyDescent="0.25">
      <c r="A407" s="9">
        <v>45021</v>
      </c>
      <c r="B407" s="7">
        <v>7340.77</v>
      </c>
      <c r="C407" s="7">
        <v>7381.4</v>
      </c>
      <c r="D407" s="7">
        <v>7393.02</v>
      </c>
      <c r="E407" s="7">
        <v>7316.14</v>
      </c>
      <c r="F407" t="s">
        <v>670</v>
      </c>
      <c r="G407" s="8">
        <v>-8.5000000000000006E-3</v>
      </c>
    </row>
    <row r="408" spans="1:7" x14ac:dyDescent="0.25">
      <c r="A408" s="9">
        <v>44990</v>
      </c>
      <c r="B408" s="7">
        <v>7403.83</v>
      </c>
      <c r="C408" s="7">
        <v>7410.56</v>
      </c>
      <c r="D408" s="7">
        <v>7445.95</v>
      </c>
      <c r="E408" s="7">
        <v>7395.82</v>
      </c>
      <c r="F408" t="s">
        <v>671</v>
      </c>
      <c r="G408" s="8">
        <v>2.8E-3</v>
      </c>
    </row>
    <row r="409" spans="1:7" x14ac:dyDescent="0.25">
      <c r="A409" s="9">
        <v>44962</v>
      </c>
      <c r="B409" s="7">
        <v>7383.2</v>
      </c>
      <c r="C409" s="7">
        <v>7466.82</v>
      </c>
      <c r="D409" s="7">
        <v>7505.92</v>
      </c>
      <c r="E409" s="7">
        <v>7374.06</v>
      </c>
      <c r="F409" t="s">
        <v>672</v>
      </c>
      <c r="G409" s="8">
        <v>-1.4500000000000001E-2</v>
      </c>
    </row>
    <row r="410" spans="1:7" x14ac:dyDescent="0.25">
      <c r="A410" t="s">
        <v>673</v>
      </c>
      <c r="B410" s="7">
        <v>7491.5</v>
      </c>
      <c r="C410" s="7">
        <v>7498.62</v>
      </c>
      <c r="D410" s="7">
        <v>7505.05</v>
      </c>
      <c r="E410" s="7">
        <v>7403.2</v>
      </c>
      <c r="F410" t="s">
        <v>674</v>
      </c>
      <c r="G410" s="8">
        <v>1E-3</v>
      </c>
    </row>
    <row r="411" spans="1:7" x14ac:dyDescent="0.25">
      <c r="A411" t="s">
        <v>675</v>
      </c>
      <c r="B411" s="7">
        <v>7483.84</v>
      </c>
      <c r="C411" s="7">
        <v>7450.1</v>
      </c>
      <c r="D411" s="7">
        <v>7507.26</v>
      </c>
      <c r="E411" s="7">
        <v>7446.66</v>
      </c>
      <c r="F411" t="s">
        <v>676</v>
      </c>
      <c r="G411" s="8">
        <v>2.3E-3</v>
      </c>
    </row>
    <row r="412" spans="1:7" x14ac:dyDescent="0.25">
      <c r="A412" t="s">
        <v>677</v>
      </c>
      <c r="B412" s="7">
        <v>7466.66</v>
      </c>
      <c r="C412" s="7">
        <v>7496.48</v>
      </c>
      <c r="D412" s="7">
        <v>7508.13</v>
      </c>
      <c r="E412" s="7">
        <v>7427.53</v>
      </c>
      <c r="F412" t="s">
        <v>678</v>
      </c>
      <c r="G412" s="8">
        <v>-8.6E-3</v>
      </c>
    </row>
    <row r="413" spans="1:7" x14ac:dyDescent="0.25">
      <c r="A413" t="s">
        <v>679</v>
      </c>
      <c r="B413" s="7">
        <v>7531.61</v>
      </c>
      <c r="C413" s="7">
        <v>7528.15</v>
      </c>
      <c r="D413" s="7">
        <v>7541.72</v>
      </c>
      <c r="E413" s="7">
        <v>7504.26</v>
      </c>
      <c r="F413" t="s">
        <v>680</v>
      </c>
      <c r="G413" s="8">
        <v>-5.5999999999999999E-3</v>
      </c>
    </row>
    <row r="414" spans="1:7" x14ac:dyDescent="0.25">
      <c r="A414" t="s">
        <v>681</v>
      </c>
      <c r="B414" s="7">
        <v>7573.86</v>
      </c>
      <c r="C414" s="7">
        <v>7545.6</v>
      </c>
      <c r="D414" s="7">
        <v>7581.26</v>
      </c>
      <c r="E414" s="7">
        <v>7545.6</v>
      </c>
      <c r="F414" t="s">
        <v>682</v>
      </c>
      <c r="G414" s="8">
        <v>-4.0000000000000002E-4</v>
      </c>
    </row>
    <row r="415" spans="1:7" x14ac:dyDescent="0.25">
      <c r="A415" t="s">
        <v>683</v>
      </c>
      <c r="B415" s="7">
        <v>7577</v>
      </c>
      <c r="C415" s="7">
        <v>7551.5</v>
      </c>
      <c r="D415" s="7">
        <v>7577</v>
      </c>
      <c r="E415" s="7">
        <v>7518.32</v>
      </c>
      <c r="F415" t="s">
        <v>684</v>
      </c>
      <c r="G415" s="8">
        <v>5.1000000000000004E-3</v>
      </c>
    </row>
    <row r="416" spans="1:7" x14ac:dyDescent="0.25">
      <c r="A416" t="s">
        <v>685</v>
      </c>
      <c r="B416" s="7">
        <v>7538.71</v>
      </c>
      <c r="C416" s="7">
        <v>7541.68</v>
      </c>
      <c r="D416" s="7">
        <v>7546.07</v>
      </c>
      <c r="E416" s="7">
        <v>7506.92</v>
      </c>
      <c r="F416" t="s">
        <v>686</v>
      </c>
      <c r="G416" s="8">
        <v>-1.4E-3</v>
      </c>
    </row>
    <row r="417" spans="1:7" x14ac:dyDescent="0.25">
      <c r="A417" t="s">
        <v>687</v>
      </c>
      <c r="B417" s="7">
        <v>7549.44</v>
      </c>
      <c r="C417" s="7">
        <v>7530.54</v>
      </c>
      <c r="D417" s="7">
        <v>7558.95</v>
      </c>
      <c r="E417" s="7">
        <v>7513.77</v>
      </c>
      <c r="F417" t="s">
        <v>688</v>
      </c>
      <c r="G417" s="8">
        <v>2.0999999999999999E-3</v>
      </c>
    </row>
    <row r="418" spans="1:7" x14ac:dyDescent="0.25">
      <c r="A418" t="s">
        <v>689</v>
      </c>
      <c r="B418" s="7">
        <v>7533.63</v>
      </c>
      <c r="C418" s="7">
        <v>7509</v>
      </c>
      <c r="D418" s="7">
        <v>7559.35</v>
      </c>
      <c r="E418" s="7">
        <v>7509</v>
      </c>
      <c r="F418" t="s">
        <v>690</v>
      </c>
      <c r="G418" s="8">
        <v>4.7000000000000002E-3</v>
      </c>
    </row>
    <row r="419" spans="1:7" x14ac:dyDescent="0.25">
      <c r="A419" t="s">
        <v>691</v>
      </c>
      <c r="B419" s="7">
        <v>7498.18</v>
      </c>
      <c r="C419" s="7">
        <v>7535.39</v>
      </c>
      <c r="D419" s="7">
        <v>7552</v>
      </c>
      <c r="E419" s="7">
        <v>7498.07</v>
      </c>
      <c r="F419" t="s">
        <v>692</v>
      </c>
      <c r="G419" s="8">
        <v>-2.8E-3</v>
      </c>
    </row>
    <row r="420" spans="1:7" x14ac:dyDescent="0.25">
      <c r="A420" t="s">
        <v>693</v>
      </c>
      <c r="B420" s="7">
        <v>7519.61</v>
      </c>
      <c r="C420" s="7">
        <v>7500.77</v>
      </c>
      <c r="D420" s="7">
        <v>7533.41</v>
      </c>
      <c r="E420" s="7">
        <v>7491.43</v>
      </c>
      <c r="F420" t="s">
        <v>694</v>
      </c>
      <c r="G420" s="8">
        <v>5.1999999999999998E-3</v>
      </c>
    </row>
    <row r="421" spans="1:7" x14ac:dyDescent="0.25">
      <c r="A421" t="s">
        <v>695</v>
      </c>
      <c r="B421" s="7">
        <v>7480.83</v>
      </c>
      <c r="C421" s="7">
        <v>7450.76</v>
      </c>
      <c r="D421" s="7">
        <v>7485.59</v>
      </c>
      <c r="E421" s="7">
        <v>7450.76</v>
      </c>
      <c r="F421" t="s">
        <v>696</v>
      </c>
      <c r="G421" s="8">
        <v>1.1299999999999999E-2</v>
      </c>
    </row>
    <row r="422" spans="1:7" x14ac:dyDescent="0.25">
      <c r="A422" s="9">
        <v>45264</v>
      </c>
      <c r="B422" s="7">
        <v>7396.94</v>
      </c>
      <c r="C422" s="7">
        <v>7396.81</v>
      </c>
      <c r="D422" s="7">
        <v>7463.67</v>
      </c>
      <c r="E422" s="7">
        <v>7379.79</v>
      </c>
      <c r="F422" t="s">
        <v>311</v>
      </c>
      <c r="G422" s="8">
        <v>8.9999999999999998E-4</v>
      </c>
    </row>
    <row r="423" spans="1:7" x14ac:dyDescent="0.25">
      <c r="A423" s="9">
        <v>45234</v>
      </c>
      <c r="B423" s="7">
        <v>7390.28</v>
      </c>
      <c r="C423" s="7">
        <v>7381.77</v>
      </c>
      <c r="D423" s="7">
        <v>7403.67</v>
      </c>
      <c r="E423" s="7">
        <v>7370.09</v>
      </c>
      <c r="F423" t="s">
        <v>684</v>
      </c>
      <c r="G423" s="8">
        <v>8.8999999999999999E-3</v>
      </c>
    </row>
    <row r="424" spans="1:7" x14ac:dyDescent="0.25">
      <c r="A424" s="9">
        <v>45081</v>
      </c>
      <c r="B424" s="7">
        <v>7324.75</v>
      </c>
      <c r="C424" s="7">
        <v>7328.57</v>
      </c>
      <c r="D424" s="7">
        <v>7344.34</v>
      </c>
      <c r="E424" s="7">
        <v>7312.61</v>
      </c>
      <c r="F424" t="s">
        <v>697</v>
      </c>
      <c r="G424" s="8">
        <v>1.1999999999999999E-3</v>
      </c>
    </row>
    <row r="425" spans="1:7" x14ac:dyDescent="0.25">
      <c r="A425" s="9">
        <v>45050</v>
      </c>
      <c r="B425" s="7">
        <v>7316.3</v>
      </c>
      <c r="C425" s="7">
        <v>7350.03</v>
      </c>
      <c r="D425" s="7">
        <v>7359.4</v>
      </c>
      <c r="E425" s="7">
        <v>7300.33</v>
      </c>
      <c r="F425" t="s">
        <v>698</v>
      </c>
      <c r="G425" s="8">
        <v>-3.8999999999999998E-3</v>
      </c>
    </row>
    <row r="426" spans="1:7" x14ac:dyDescent="0.25">
      <c r="A426" s="9">
        <v>45020</v>
      </c>
      <c r="B426" s="7">
        <v>7344.96</v>
      </c>
      <c r="C426" s="7">
        <v>7375.79</v>
      </c>
      <c r="D426" s="7">
        <v>7399.59</v>
      </c>
      <c r="E426" s="7">
        <v>7344.34</v>
      </c>
      <c r="F426" t="s">
        <v>699</v>
      </c>
      <c r="G426" s="8">
        <v>-1E-4</v>
      </c>
    </row>
    <row r="427" spans="1:7" x14ac:dyDescent="0.25">
      <c r="A427" s="9">
        <v>44989</v>
      </c>
      <c r="B427" s="7">
        <v>7345.96</v>
      </c>
      <c r="C427" s="7">
        <v>7341.69</v>
      </c>
      <c r="D427" s="7">
        <v>7362.39</v>
      </c>
      <c r="E427" s="7">
        <v>7332.64</v>
      </c>
      <c r="F427" t="s">
        <v>700</v>
      </c>
      <c r="G427" s="8">
        <v>3.2000000000000002E-3</v>
      </c>
    </row>
    <row r="428" spans="1:7" x14ac:dyDescent="0.25">
      <c r="A428" t="s">
        <v>701</v>
      </c>
      <c r="B428" s="7">
        <v>7322.39</v>
      </c>
      <c r="C428" s="7">
        <v>7271.19</v>
      </c>
      <c r="D428" s="7">
        <v>7341.79</v>
      </c>
      <c r="E428" s="7">
        <v>7264.82</v>
      </c>
      <c r="F428" t="s">
        <v>702</v>
      </c>
      <c r="G428" s="8">
        <v>8.0999999999999996E-3</v>
      </c>
    </row>
    <row r="429" spans="1:7" x14ac:dyDescent="0.25">
      <c r="A429" t="s">
        <v>703</v>
      </c>
      <c r="B429" s="7">
        <v>7263.37</v>
      </c>
      <c r="C429" s="7">
        <v>7222.69</v>
      </c>
      <c r="D429" s="7">
        <v>7292.39</v>
      </c>
      <c r="E429" s="7">
        <v>7222.69</v>
      </c>
      <c r="F429" t="s">
        <v>704</v>
      </c>
      <c r="G429" s="8">
        <v>1.06E-2</v>
      </c>
    </row>
    <row r="430" spans="1:7" x14ac:dyDescent="0.25">
      <c r="A430" t="s">
        <v>705</v>
      </c>
      <c r="B430" s="7">
        <v>7186.99</v>
      </c>
      <c r="C430" s="7">
        <v>7141.05</v>
      </c>
      <c r="D430" s="7">
        <v>7201.25</v>
      </c>
      <c r="E430" s="7">
        <v>7125.12</v>
      </c>
      <c r="F430" t="s">
        <v>706</v>
      </c>
      <c r="G430" s="8">
        <v>1.3899999999999999E-2</v>
      </c>
    </row>
    <row r="431" spans="1:7" x14ac:dyDescent="0.25">
      <c r="A431" t="s">
        <v>707</v>
      </c>
      <c r="B431" s="7">
        <v>7088.34</v>
      </c>
      <c r="C431" s="7">
        <v>7145.66</v>
      </c>
      <c r="D431" s="7">
        <v>7154.56</v>
      </c>
      <c r="E431" s="7">
        <v>7066.27</v>
      </c>
      <c r="F431" t="s">
        <v>708</v>
      </c>
      <c r="G431" s="8">
        <v>1.4E-3</v>
      </c>
    </row>
    <row r="432" spans="1:7" x14ac:dyDescent="0.25">
      <c r="A432" t="s">
        <v>709</v>
      </c>
      <c r="B432" s="7">
        <v>7078.27</v>
      </c>
      <c r="C432" s="7">
        <v>7103.53</v>
      </c>
      <c r="D432" s="7">
        <v>7119.59</v>
      </c>
      <c r="E432" s="7">
        <v>7039.09</v>
      </c>
      <c r="F432" t="s">
        <v>710</v>
      </c>
      <c r="G432" s="8">
        <v>8.9999999999999993E-3</v>
      </c>
    </row>
    <row r="433" spans="1:7" x14ac:dyDescent="0.25">
      <c r="A433" t="s">
        <v>711</v>
      </c>
      <c r="B433" s="7">
        <v>7015.1</v>
      </c>
      <c r="C433" s="7">
        <v>7108.16</v>
      </c>
      <c r="D433" s="7">
        <v>7108.66</v>
      </c>
      <c r="E433" s="7">
        <v>6953.58</v>
      </c>
      <c r="F433" t="s">
        <v>712</v>
      </c>
      <c r="G433" s="8">
        <v>-1.7399999999999999E-2</v>
      </c>
    </row>
    <row r="434" spans="1:7" x14ac:dyDescent="0.25">
      <c r="A434" t="s">
        <v>713</v>
      </c>
      <c r="B434" s="7">
        <v>7139.25</v>
      </c>
      <c r="C434" s="7">
        <v>7118.14</v>
      </c>
      <c r="D434" s="7">
        <v>7149.92</v>
      </c>
      <c r="E434" s="7">
        <v>7073.5</v>
      </c>
      <c r="F434" t="s">
        <v>637</v>
      </c>
      <c r="G434" s="8">
        <v>1.1000000000000001E-3</v>
      </c>
    </row>
    <row r="435" spans="1:7" x14ac:dyDescent="0.25">
      <c r="A435" t="s">
        <v>714</v>
      </c>
      <c r="B435" s="7">
        <v>7131.12</v>
      </c>
      <c r="C435" s="7">
        <v>7105.32</v>
      </c>
      <c r="D435" s="7">
        <v>7157.73</v>
      </c>
      <c r="E435" s="7">
        <v>7080.18</v>
      </c>
      <c r="F435" t="s">
        <v>715</v>
      </c>
      <c r="G435" s="8">
        <v>2.5999999999999999E-3</v>
      </c>
    </row>
    <row r="436" spans="1:7" x14ac:dyDescent="0.25">
      <c r="A436" t="s">
        <v>716</v>
      </c>
      <c r="B436" s="7">
        <v>7112.91</v>
      </c>
      <c r="C436" s="7">
        <v>7089.01</v>
      </c>
      <c r="D436" s="7">
        <v>7150.33</v>
      </c>
      <c r="E436" s="7">
        <v>7083.81</v>
      </c>
      <c r="F436" t="s">
        <v>717</v>
      </c>
      <c r="G436" s="8">
        <v>1.4200000000000001E-2</v>
      </c>
    </row>
    <row r="437" spans="1:7" x14ac:dyDescent="0.25">
      <c r="A437" t="s">
        <v>718</v>
      </c>
      <c r="B437" s="7">
        <v>7013.14</v>
      </c>
      <c r="C437" s="7">
        <v>6900.9</v>
      </c>
      <c r="D437" s="7">
        <v>7049.76</v>
      </c>
      <c r="E437" s="7">
        <v>6796.21</v>
      </c>
      <c r="F437" t="s">
        <v>719</v>
      </c>
      <c r="G437" s="8">
        <v>1.2699999999999999E-2</v>
      </c>
    </row>
    <row r="438" spans="1:7" x14ac:dyDescent="0.25">
      <c r="A438" t="s">
        <v>720</v>
      </c>
      <c r="B438" s="7">
        <v>6925.4</v>
      </c>
      <c r="C438" s="7">
        <v>7086.1</v>
      </c>
      <c r="D438" s="7">
        <v>7104.75</v>
      </c>
      <c r="E438" s="7">
        <v>6895.73</v>
      </c>
      <c r="F438" t="s">
        <v>721</v>
      </c>
      <c r="G438" s="8">
        <v>-1.43E-2</v>
      </c>
    </row>
    <row r="439" spans="1:7" x14ac:dyDescent="0.25">
      <c r="A439" t="s">
        <v>722</v>
      </c>
      <c r="B439" s="7">
        <v>7025.72</v>
      </c>
      <c r="C439" s="7">
        <v>6987.63</v>
      </c>
      <c r="D439" s="7">
        <v>7063.31</v>
      </c>
      <c r="E439" s="7">
        <v>6876.61</v>
      </c>
      <c r="F439" t="s">
        <v>723</v>
      </c>
      <c r="G439" s="8">
        <v>2.0299999999999999E-2</v>
      </c>
    </row>
    <row r="440" spans="1:7" x14ac:dyDescent="0.25">
      <c r="A440" t="s">
        <v>724</v>
      </c>
      <c r="B440" s="7">
        <v>6885.71</v>
      </c>
      <c r="C440" s="7">
        <v>7123.2</v>
      </c>
      <c r="D440" s="7">
        <v>7123.2</v>
      </c>
      <c r="E440" s="7">
        <v>6861.63</v>
      </c>
      <c r="F440" t="s">
        <v>725</v>
      </c>
      <c r="G440" s="8">
        <v>-3.5799999999999998E-2</v>
      </c>
    </row>
    <row r="441" spans="1:7" x14ac:dyDescent="0.25">
      <c r="A441" t="s">
        <v>726</v>
      </c>
      <c r="B441" s="7">
        <v>7141.57</v>
      </c>
      <c r="C441" s="7">
        <v>7029.22</v>
      </c>
      <c r="D441" s="7">
        <v>7162.57</v>
      </c>
      <c r="E441" s="7">
        <v>6989.96</v>
      </c>
      <c r="F441" t="s">
        <v>727</v>
      </c>
      <c r="G441" s="8">
        <v>1.8599999999999998E-2</v>
      </c>
    </row>
    <row r="442" spans="1:7" x14ac:dyDescent="0.25">
      <c r="A442" t="s">
        <v>728</v>
      </c>
      <c r="B442" s="7">
        <v>7011.5</v>
      </c>
      <c r="C442" s="7">
        <v>7211.44</v>
      </c>
      <c r="D442" s="7">
        <v>7211.44</v>
      </c>
      <c r="E442" s="7">
        <v>6979.55</v>
      </c>
      <c r="F442" t="s">
        <v>729</v>
      </c>
      <c r="G442" s="8">
        <v>-2.9000000000000001E-2</v>
      </c>
    </row>
    <row r="443" spans="1:7" x14ac:dyDescent="0.25">
      <c r="A443" s="9">
        <v>45202</v>
      </c>
      <c r="B443" s="7">
        <v>7220.67</v>
      </c>
      <c r="C443" s="7">
        <v>7193.37</v>
      </c>
      <c r="D443" s="7">
        <v>7256.48</v>
      </c>
      <c r="E443" s="7">
        <v>7166.89</v>
      </c>
      <c r="F443" t="s">
        <v>730</v>
      </c>
      <c r="G443" s="8">
        <v>-1.2999999999999999E-2</v>
      </c>
    </row>
    <row r="444" spans="1:7" x14ac:dyDescent="0.25">
      <c r="A444" s="9">
        <v>45172</v>
      </c>
      <c r="B444" s="7">
        <v>7315.88</v>
      </c>
      <c r="C444" s="7">
        <v>7317.43</v>
      </c>
      <c r="D444" s="7">
        <v>7333.22</v>
      </c>
      <c r="E444" s="7">
        <v>7274.05</v>
      </c>
      <c r="F444" t="s">
        <v>731</v>
      </c>
      <c r="G444" s="8">
        <v>-1.1999999999999999E-3</v>
      </c>
    </row>
    <row r="445" spans="1:7" x14ac:dyDescent="0.25">
      <c r="A445" s="9">
        <v>45141</v>
      </c>
      <c r="B445" s="7">
        <v>7324.76</v>
      </c>
      <c r="C445" s="7">
        <v>7305.92</v>
      </c>
      <c r="D445" s="7">
        <v>7346.62</v>
      </c>
      <c r="E445" s="7">
        <v>7305.92</v>
      </c>
      <c r="F445" t="s">
        <v>303</v>
      </c>
      <c r="G445" s="8">
        <v>-2E-3</v>
      </c>
    </row>
    <row r="446" spans="1:7" x14ac:dyDescent="0.25">
      <c r="A446" s="9">
        <v>45110</v>
      </c>
      <c r="B446" s="7">
        <v>7339.27</v>
      </c>
      <c r="C446" s="7">
        <v>7355.87</v>
      </c>
      <c r="D446" s="7">
        <v>7398.03</v>
      </c>
      <c r="E446" s="7">
        <v>7336.2</v>
      </c>
      <c r="F446" t="s">
        <v>732</v>
      </c>
      <c r="G446" s="8">
        <v>-4.5999999999999999E-3</v>
      </c>
    </row>
    <row r="447" spans="1:7" x14ac:dyDescent="0.25">
      <c r="A447" s="9">
        <v>45080</v>
      </c>
      <c r="B447" s="7">
        <v>7373.21</v>
      </c>
      <c r="C447" s="7">
        <v>7385.75</v>
      </c>
      <c r="D447" s="7">
        <v>7401.15</v>
      </c>
      <c r="E447" s="7">
        <v>7349.98</v>
      </c>
      <c r="F447" t="s">
        <v>733</v>
      </c>
      <c r="G447" s="8">
        <v>3.3999999999999998E-3</v>
      </c>
    </row>
    <row r="448" spans="1:7" x14ac:dyDescent="0.25">
      <c r="A448" s="9">
        <v>44988</v>
      </c>
      <c r="B448" s="7">
        <v>7348.12</v>
      </c>
      <c r="C448" s="7">
        <v>7313.48</v>
      </c>
      <c r="D448" s="7">
        <v>7358.04</v>
      </c>
      <c r="E448" s="7">
        <v>7308.15</v>
      </c>
      <c r="F448" t="s">
        <v>734</v>
      </c>
      <c r="G448" s="8">
        <v>8.8000000000000005E-3</v>
      </c>
    </row>
    <row r="449" spans="1:7" x14ac:dyDescent="0.25">
      <c r="A449" s="9">
        <v>44960</v>
      </c>
      <c r="B449" s="7">
        <v>7284.22</v>
      </c>
      <c r="C449" s="7">
        <v>7176.41</v>
      </c>
      <c r="D449" s="7">
        <v>7286.24</v>
      </c>
      <c r="E449" s="7">
        <v>7169.66</v>
      </c>
      <c r="F449" t="s">
        <v>735</v>
      </c>
      <c r="G449" s="8">
        <v>6.8999999999999999E-3</v>
      </c>
    </row>
    <row r="450" spans="1:7" x14ac:dyDescent="0.25">
      <c r="A450" s="9">
        <v>44929</v>
      </c>
      <c r="B450" s="7">
        <v>7234.25</v>
      </c>
      <c r="C450" s="7">
        <v>7279.34</v>
      </c>
      <c r="D450" s="7">
        <v>7327.29</v>
      </c>
      <c r="E450" s="7">
        <v>7219.4</v>
      </c>
      <c r="F450" t="s">
        <v>736</v>
      </c>
      <c r="G450" s="8">
        <v>-4.5999999999999999E-3</v>
      </c>
    </row>
    <row r="451" spans="1:7" x14ac:dyDescent="0.25">
      <c r="A451" t="s">
        <v>737</v>
      </c>
      <c r="B451" s="7">
        <v>7267.93</v>
      </c>
      <c r="C451" s="7">
        <v>7253.54</v>
      </c>
      <c r="D451" s="7">
        <v>7317.98</v>
      </c>
      <c r="E451" s="7">
        <v>7249.47</v>
      </c>
      <c r="F451" t="s">
        <v>738</v>
      </c>
      <c r="G451" s="8">
        <v>-3.8E-3</v>
      </c>
    </row>
    <row r="452" spans="1:7" x14ac:dyDescent="0.25">
      <c r="A452" t="s">
        <v>739</v>
      </c>
      <c r="B452" s="7">
        <v>7295.55</v>
      </c>
      <c r="C452" s="7">
        <v>7243.03</v>
      </c>
      <c r="D452" s="7">
        <v>7324.03</v>
      </c>
      <c r="E452" s="7">
        <v>7243.03</v>
      </c>
      <c r="F452" t="s">
        <v>740</v>
      </c>
      <c r="G452" s="8">
        <v>1.5100000000000001E-2</v>
      </c>
    </row>
    <row r="453" spans="1:7" x14ac:dyDescent="0.25">
      <c r="A453" t="s">
        <v>741</v>
      </c>
      <c r="B453" s="7">
        <v>7187.27</v>
      </c>
      <c r="C453" s="7">
        <v>7359.76</v>
      </c>
      <c r="D453" s="7">
        <v>7366.07</v>
      </c>
      <c r="E453" s="7">
        <v>7187.27</v>
      </c>
      <c r="F453" t="s">
        <v>742</v>
      </c>
      <c r="G453" s="8">
        <v>-1.78E-2</v>
      </c>
    </row>
    <row r="454" spans="1:7" x14ac:dyDescent="0.25">
      <c r="A454" t="s">
        <v>743</v>
      </c>
      <c r="B454" s="7">
        <v>7317.43</v>
      </c>
      <c r="C454" s="7">
        <v>7309.03</v>
      </c>
      <c r="D454" s="7">
        <v>7357.68</v>
      </c>
      <c r="E454" s="7">
        <v>7301.42</v>
      </c>
      <c r="F454" t="s">
        <v>744</v>
      </c>
      <c r="G454" s="8">
        <v>2.5000000000000001E-3</v>
      </c>
    </row>
    <row r="455" spans="1:7" x14ac:dyDescent="0.25">
      <c r="A455" t="s">
        <v>745</v>
      </c>
      <c r="B455" s="7">
        <v>7299.26</v>
      </c>
      <c r="C455" s="7">
        <v>7282.49</v>
      </c>
      <c r="D455" s="7">
        <v>7307.82</v>
      </c>
      <c r="E455" s="7">
        <v>7231.63</v>
      </c>
      <c r="F455" t="s">
        <v>746</v>
      </c>
      <c r="G455" s="8">
        <v>-1.2999999999999999E-3</v>
      </c>
    </row>
    <row r="456" spans="1:7" x14ac:dyDescent="0.25">
      <c r="A456" t="s">
        <v>747</v>
      </c>
      <c r="B456" s="7">
        <v>7308.65</v>
      </c>
      <c r="C456" s="7">
        <v>7319.93</v>
      </c>
      <c r="D456" s="7">
        <v>7342.68</v>
      </c>
      <c r="E456" s="7">
        <v>7241.21</v>
      </c>
      <c r="F456" t="s">
        <v>748</v>
      </c>
      <c r="G456" s="8">
        <v>-3.7000000000000002E-3</v>
      </c>
    </row>
    <row r="457" spans="1:7" x14ac:dyDescent="0.25">
      <c r="A457" t="s">
        <v>749</v>
      </c>
      <c r="B457" s="7">
        <v>7335.61</v>
      </c>
      <c r="C457" s="7">
        <v>7361.21</v>
      </c>
      <c r="D457" s="7">
        <v>7363.41</v>
      </c>
      <c r="E457" s="7">
        <v>7318.73</v>
      </c>
      <c r="F457" t="s">
        <v>750</v>
      </c>
      <c r="G457" s="8">
        <v>-1.6000000000000001E-3</v>
      </c>
    </row>
    <row r="458" spans="1:7" x14ac:dyDescent="0.25">
      <c r="A458" t="s">
        <v>751</v>
      </c>
      <c r="B458" s="7">
        <v>7347.72</v>
      </c>
      <c r="C458" s="7">
        <v>7311.14</v>
      </c>
      <c r="D458" s="7">
        <v>7368</v>
      </c>
      <c r="E458" s="7">
        <v>7267.77</v>
      </c>
      <c r="F458" t="s">
        <v>752</v>
      </c>
      <c r="G458" s="8">
        <v>-2.5000000000000001E-3</v>
      </c>
    </row>
    <row r="459" spans="1:7" x14ac:dyDescent="0.25">
      <c r="A459" t="s">
        <v>753</v>
      </c>
      <c r="B459" s="7">
        <v>7366.16</v>
      </c>
      <c r="C459" s="7">
        <v>7346.3</v>
      </c>
      <c r="D459" s="7">
        <v>7387.29</v>
      </c>
      <c r="E459" s="7">
        <v>7325.75</v>
      </c>
      <c r="F459" t="s">
        <v>754</v>
      </c>
      <c r="G459" s="8">
        <v>8.8999999999999999E-3</v>
      </c>
    </row>
    <row r="460" spans="1:7" x14ac:dyDescent="0.25">
      <c r="A460" t="s">
        <v>755</v>
      </c>
      <c r="B460" s="7">
        <v>7300.86</v>
      </c>
      <c r="C460" s="7">
        <v>7206.83</v>
      </c>
      <c r="D460" s="7">
        <v>7318.78</v>
      </c>
      <c r="E460" s="7">
        <v>7200.73</v>
      </c>
      <c r="F460" t="s">
        <v>756</v>
      </c>
      <c r="G460" s="8">
        <v>1.21E-2</v>
      </c>
    </row>
    <row r="461" spans="1:7" x14ac:dyDescent="0.25">
      <c r="A461" t="s">
        <v>757</v>
      </c>
      <c r="B461" s="7">
        <v>7213.81</v>
      </c>
      <c r="C461" s="7">
        <v>7225.3</v>
      </c>
      <c r="D461" s="7">
        <v>7271.48</v>
      </c>
      <c r="E461" s="7">
        <v>7204.51</v>
      </c>
      <c r="F461" t="s">
        <v>758</v>
      </c>
      <c r="G461" s="8">
        <v>6.9999999999999999E-4</v>
      </c>
    </row>
    <row r="462" spans="1:7" x14ac:dyDescent="0.25">
      <c r="A462" t="s">
        <v>759</v>
      </c>
      <c r="B462" s="7">
        <v>7208.59</v>
      </c>
      <c r="C462" s="7">
        <v>7147.48</v>
      </c>
      <c r="D462" s="7">
        <v>7213.94</v>
      </c>
      <c r="E462" s="7">
        <v>7138.91</v>
      </c>
      <c r="F462" t="s">
        <v>760</v>
      </c>
      <c r="G462" s="8">
        <v>1.11E-2</v>
      </c>
    </row>
    <row r="463" spans="1:7" x14ac:dyDescent="0.25">
      <c r="A463" s="9">
        <v>45201</v>
      </c>
      <c r="B463" s="7">
        <v>7129.73</v>
      </c>
      <c r="C463" s="7">
        <v>7165.41</v>
      </c>
      <c r="D463" s="7">
        <v>7182.92</v>
      </c>
      <c r="E463" s="7">
        <v>7074.63</v>
      </c>
      <c r="F463" t="s">
        <v>761</v>
      </c>
      <c r="G463" s="8">
        <v>-8.2000000000000007E-3</v>
      </c>
    </row>
    <row r="464" spans="1:7" x14ac:dyDescent="0.25">
      <c r="A464" s="9">
        <v>45171</v>
      </c>
      <c r="B464" s="7">
        <v>7188.36</v>
      </c>
      <c r="C464" s="7">
        <v>7179.64</v>
      </c>
      <c r="D464" s="7">
        <v>7225.88</v>
      </c>
      <c r="E464" s="7">
        <v>7179.64</v>
      </c>
      <c r="F464" t="s">
        <v>762</v>
      </c>
      <c r="G464" s="8">
        <v>9.5999999999999992E-3</v>
      </c>
    </row>
    <row r="465" spans="1:7" x14ac:dyDescent="0.25">
      <c r="A465" s="9">
        <v>45140</v>
      </c>
      <c r="B465" s="7">
        <v>7119.83</v>
      </c>
      <c r="C465" s="7">
        <v>7181.58</v>
      </c>
      <c r="D465" s="7">
        <v>7190.86</v>
      </c>
      <c r="E465" s="7">
        <v>7119.83</v>
      </c>
      <c r="F465" t="s">
        <v>763</v>
      </c>
      <c r="G465" s="8">
        <v>-1.8E-3</v>
      </c>
    </row>
    <row r="466" spans="1:7" x14ac:dyDescent="0.25">
      <c r="A466" s="9">
        <v>45109</v>
      </c>
      <c r="B466" s="7">
        <v>7132.35</v>
      </c>
      <c r="C466" s="7">
        <v>7145.84</v>
      </c>
      <c r="D466" s="7">
        <v>7154.51</v>
      </c>
      <c r="E466" s="7">
        <v>7108.46</v>
      </c>
      <c r="F466" t="s">
        <v>764</v>
      </c>
      <c r="G466" s="8">
        <v>-6.9999999999999999E-4</v>
      </c>
    </row>
    <row r="467" spans="1:7" x14ac:dyDescent="0.25">
      <c r="A467" s="9">
        <v>45079</v>
      </c>
      <c r="B467" s="7">
        <v>7137.1</v>
      </c>
      <c r="C467" s="7">
        <v>7181.97</v>
      </c>
      <c r="D467" s="7">
        <v>7187.27</v>
      </c>
      <c r="E467" s="7">
        <v>7104.52</v>
      </c>
      <c r="F467" t="s">
        <v>765</v>
      </c>
      <c r="G467" s="8">
        <v>-1.34E-2</v>
      </c>
    </row>
    <row r="468" spans="1:7" x14ac:dyDescent="0.25">
      <c r="A468" s="9">
        <v>44987</v>
      </c>
      <c r="B468" s="7">
        <v>7233.94</v>
      </c>
      <c r="C468" s="7">
        <v>7136.4</v>
      </c>
      <c r="D468" s="7">
        <v>7233.94</v>
      </c>
      <c r="E468" s="7">
        <v>7113.42</v>
      </c>
      <c r="F468" t="s">
        <v>766</v>
      </c>
      <c r="G468" s="8">
        <v>9.4000000000000004E-3</v>
      </c>
    </row>
    <row r="469" spans="1:7" x14ac:dyDescent="0.25">
      <c r="A469" s="9">
        <v>44959</v>
      </c>
      <c r="B469" s="7">
        <v>7166.27</v>
      </c>
      <c r="C469" s="7">
        <v>7110.03</v>
      </c>
      <c r="D469" s="7">
        <v>7184.69</v>
      </c>
      <c r="E469" s="7">
        <v>7079.41</v>
      </c>
      <c r="F469" t="s">
        <v>767</v>
      </c>
      <c r="G469" s="8">
        <v>1.26E-2</v>
      </c>
    </row>
    <row r="470" spans="1:7" x14ac:dyDescent="0.25">
      <c r="A470" s="9">
        <v>44928</v>
      </c>
      <c r="B470" s="7">
        <v>7077.11</v>
      </c>
      <c r="C470" s="7">
        <v>7087.2</v>
      </c>
      <c r="D470" s="7">
        <v>7110.21</v>
      </c>
      <c r="E470" s="7">
        <v>7059.61</v>
      </c>
      <c r="F470" t="s">
        <v>768</v>
      </c>
      <c r="G470" s="8">
        <v>-6.9999999999999999E-4</v>
      </c>
    </row>
    <row r="471" spans="1:7" x14ac:dyDescent="0.25">
      <c r="A471" t="s">
        <v>769</v>
      </c>
      <c r="B471" s="7">
        <v>7082.42</v>
      </c>
      <c r="C471" s="7">
        <v>7075.09</v>
      </c>
      <c r="D471" s="7">
        <v>7088.97</v>
      </c>
      <c r="E471" s="7">
        <v>7025.53</v>
      </c>
      <c r="F471" t="s">
        <v>770</v>
      </c>
      <c r="G471" s="8">
        <v>1E-4</v>
      </c>
    </row>
    <row r="472" spans="1:7" x14ac:dyDescent="0.25">
      <c r="A472" t="s">
        <v>771</v>
      </c>
      <c r="B472" s="7">
        <v>7082.01</v>
      </c>
      <c r="C472" s="7">
        <v>7054.24</v>
      </c>
      <c r="D472" s="7">
        <v>7103.66</v>
      </c>
      <c r="E472" s="7">
        <v>7030.95</v>
      </c>
      <c r="F472" t="s">
        <v>772</v>
      </c>
      <c r="G472" s="8">
        <v>-2.0999999999999999E-3</v>
      </c>
    </row>
    <row r="473" spans="1:7" x14ac:dyDescent="0.25">
      <c r="A473" t="s">
        <v>773</v>
      </c>
      <c r="B473" s="7">
        <v>7097.21</v>
      </c>
      <c r="C473" s="7">
        <v>7085.47</v>
      </c>
      <c r="D473" s="7">
        <v>7117.48</v>
      </c>
      <c r="E473" s="7">
        <v>7062.69</v>
      </c>
      <c r="F473" t="s">
        <v>774</v>
      </c>
      <c r="G473" s="8">
        <v>2.0000000000000001E-4</v>
      </c>
    </row>
    <row r="474" spans="1:7" x14ac:dyDescent="0.25">
      <c r="A474" t="s">
        <v>775</v>
      </c>
      <c r="B474" s="7">
        <v>7095.99</v>
      </c>
      <c r="C474" s="7">
        <v>7095.11</v>
      </c>
      <c r="D474" s="7">
        <v>7117.53</v>
      </c>
      <c r="E474" s="7">
        <v>7078.02</v>
      </c>
      <c r="F474" t="s">
        <v>776</v>
      </c>
      <c r="G474" s="8">
        <v>7.4000000000000003E-3</v>
      </c>
    </row>
    <row r="475" spans="1:7" x14ac:dyDescent="0.25">
      <c r="A475" t="s">
        <v>777</v>
      </c>
      <c r="B475" s="7">
        <v>7043.88</v>
      </c>
      <c r="C475" s="7">
        <v>7057.82</v>
      </c>
      <c r="D475" s="7">
        <v>7070.84</v>
      </c>
      <c r="E475" s="7">
        <v>6999.93</v>
      </c>
      <c r="F475" t="s">
        <v>778</v>
      </c>
      <c r="G475" s="8">
        <v>-8.9999999999999998E-4</v>
      </c>
    </row>
    <row r="476" spans="1:7" x14ac:dyDescent="0.25">
      <c r="A476" t="s">
        <v>779</v>
      </c>
      <c r="B476" s="7">
        <v>7050.48</v>
      </c>
      <c r="C476" s="7">
        <v>7053.04</v>
      </c>
      <c r="D476" s="7">
        <v>7064.69</v>
      </c>
      <c r="E476" s="7">
        <v>7011.4</v>
      </c>
      <c r="F476" t="s">
        <v>400</v>
      </c>
      <c r="G476" s="8">
        <v>2.5999999999999999E-3</v>
      </c>
    </row>
    <row r="477" spans="1:7" x14ac:dyDescent="0.25">
      <c r="A477" t="s">
        <v>780</v>
      </c>
      <c r="B477" s="7">
        <v>7032.02</v>
      </c>
      <c r="C477" s="7">
        <v>7014.91</v>
      </c>
      <c r="D477" s="7">
        <v>7044.51</v>
      </c>
      <c r="E477" s="7">
        <v>6988.51</v>
      </c>
      <c r="F477" t="s">
        <v>340</v>
      </c>
      <c r="G477" s="8">
        <v>5.1999999999999998E-3</v>
      </c>
    </row>
    <row r="478" spans="1:7" x14ac:dyDescent="0.25">
      <c r="A478" t="s">
        <v>781</v>
      </c>
      <c r="B478" s="7">
        <v>6995.99</v>
      </c>
      <c r="C478" s="7">
        <v>6996.22</v>
      </c>
      <c r="D478" s="7">
        <v>7015.96</v>
      </c>
      <c r="E478" s="7">
        <v>6965.45</v>
      </c>
      <c r="F478" t="s">
        <v>782</v>
      </c>
      <c r="G478" s="8">
        <v>6.3E-3</v>
      </c>
    </row>
    <row r="479" spans="1:7" x14ac:dyDescent="0.25">
      <c r="A479" t="s">
        <v>783</v>
      </c>
      <c r="B479" s="7">
        <v>6951.87</v>
      </c>
      <c r="C479" s="7">
        <v>7047.64</v>
      </c>
      <c r="D479" s="7">
        <v>7056.14</v>
      </c>
      <c r="E479" s="7">
        <v>6946.74</v>
      </c>
      <c r="F479" t="s">
        <v>784</v>
      </c>
      <c r="G479" s="8">
        <v>-1.8599999999999998E-2</v>
      </c>
    </row>
    <row r="480" spans="1:7" x14ac:dyDescent="0.25">
      <c r="A480" t="s">
        <v>785</v>
      </c>
      <c r="B480" s="7">
        <v>7083.39</v>
      </c>
      <c r="C480" s="7">
        <v>7073.62</v>
      </c>
      <c r="D480" s="7">
        <v>7115.2</v>
      </c>
      <c r="E480" s="7">
        <v>7072.45</v>
      </c>
      <c r="F480" t="s">
        <v>786</v>
      </c>
      <c r="G480" s="8">
        <v>8.9999999999999998E-4</v>
      </c>
    </row>
    <row r="481" spans="1:7" x14ac:dyDescent="0.25">
      <c r="A481" t="s">
        <v>787</v>
      </c>
      <c r="B481" s="7">
        <v>7077.16</v>
      </c>
      <c r="C481" s="7">
        <v>7036.91</v>
      </c>
      <c r="D481" s="7">
        <v>7104.9</v>
      </c>
      <c r="E481" s="7">
        <v>7020.82</v>
      </c>
      <c r="F481" t="s">
        <v>788</v>
      </c>
      <c r="G481" s="8">
        <v>4.7999999999999996E-3</v>
      </c>
    </row>
    <row r="482" spans="1:7" x14ac:dyDescent="0.25">
      <c r="A482" t="s">
        <v>789</v>
      </c>
      <c r="B482" s="7">
        <v>7043.31</v>
      </c>
      <c r="C482" s="7">
        <v>7036.48</v>
      </c>
      <c r="D482" s="7">
        <v>7052.52</v>
      </c>
      <c r="E482" s="7">
        <v>7016.32</v>
      </c>
      <c r="F482" t="s">
        <v>790</v>
      </c>
      <c r="G482" s="8">
        <v>2.8E-3</v>
      </c>
    </row>
    <row r="483" spans="1:7" x14ac:dyDescent="0.25">
      <c r="A483" t="s">
        <v>791</v>
      </c>
      <c r="B483" s="7">
        <v>7023.5</v>
      </c>
      <c r="C483" s="7">
        <v>6989.59</v>
      </c>
      <c r="D483" s="7">
        <v>7035.82</v>
      </c>
      <c r="E483" s="7">
        <v>6977.86</v>
      </c>
      <c r="F483" t="s">
        <v>792</v>
      </c>
      <c r="G483" s="8">
        <v>6.8999999999999999E-3</v>
      </c>
    </row>
    <row r="484" spans="1:7" x14ac:dyDescent="0.25">
      <c r="A484" s="9">
        <v>45261</v>
      </c>
      <c r="B484" s="7">
        <v>6975.68</v>
      </c>
      <c r="C484" s="7">
        <v>6947.34</v>
      </c>
      <c r="D484" s="7">
        <v>7015.7</v>
      </c>
      <c r="E484" s="7">
        <v>6946.3</v>
      </c>
      <c r="F484" t="s">
        <v>793</v>
      </c>
      <c r="G484" s="8">
        <v>7.4000000000000003E-3</v>
      </c>
    </row>
    <row r="485" spans="1:7" x14ac:dyDescent="0.25">
      <c r="A485" s="9">
        <v>45231</v>
      </c>
      <c r="B485" s="7">
        <v>6924.19</v>
      </c>
      <c r="C485" s="7">
        <v>6879.1</v>
      </c>
      <c r="D485" s="7">
        <v>6946.67</v>
      </c>
      <c r="E485" s="7">
        <v>6874.71</v>
      </c>
      <c r="F485" t="s">
        <v>794</v>
      </c>
      <c r="G485" s="8">
        <v>8.0000000000000002E-3</v>
      </c>
    </row>
    <row r="486" spans="1:7" x14ac:dyDescent="0.25">
      <c r="A486" s="9">
        <v>45200</v>
      </c>
      <c r="B486" s="7">
        <v>6869.14</v>
      </c>
      <c r="C486" s="7">
        <v>6882.01</v>
      </c>
      <c r="D486" s="7">
        <v>6885.44</v>
      </c>
      <c r="E486" s="7">
        <v>6845.81</v>
      </c>
      <c r="F486" t="s">
        <v>795</v>
      </c>
      <c r="G486" s="8">
        <v>-5.4999999999999997E-3</v>
      </c>
    </row>
    <row r="487" spans="1:7" x14ac:dyDescent="0.25">
      <c r="A487" s="9">
        <v>45170</v>
      </c>
      <c r="B487" s="7">
        <v>6907.36</v>
      </c>
      <c r="C487" s="7">
        <v>6861.59</v>
      </c>
      <c r="D487" s="7">
        <v>6928.43</v>
      </c>
      <c r="E487" s="7">
        <v>6851.66</v>
      </c>
      <c r="F487" t="s">
        <v>796</v>
      </c>
      <c r="G487" s="8">
        <v>6.7999999999999996E-3</v>
      </c>
    </row>
    <row r="488" spans="1:7" x14ac:dyDescent="0.25">
      <c r="A488" s="9">
        <v>45078</v>
      </c>
      <c r="B488" s="7">
        <v>6860.95</v>
      </c>
      <c r="C488" s="7">
        <v>6772.94</v>
      </c>
      <c r="D488" s="7">
        <v>6860.95</v>
      </c>
      <c r="E488" s="7">
        <v>6757.46</v>
      </c>
      <c r="F488" t="s">
        <v>797</v>
      </c>
      <c r="G488" s="8">
        <v>1.47E-2</v>
      </c>
    </row>
    <row r="489" spans="1:7" x14ac:dyDescent="0.25">
      <c r="A489" s="9">
        <v>45047</v>
      </c>
      <c r="B489" s="7">
        <v>6761.5</v>
      </c>
      <c r="C489" s="7">
        <v>6744.5</v>
      </c>
      <c r="D489" s="7">
        <v>6792.09</v>
      </c>
      <c r="E489" s="7">
        <v>6732.04</v>
      </c>
      <c r="F489" t="s">
        <v>798</v>
      </c>
      <c r="G489" s="8">
        <v>-2.2000000000000001E-3</v>
      </c>
    </row>
    <row r="490" spans="1:7" x14ac:dyDescent="0.25">
      <c r="A490" s="9">
        <v>45017</v>
      </c>
      <c r="B490" s="7">
        <v>6776.43</v>
      </c>
      <c r="C490" s="7">
        <v>6660.6</v>
      </c>
      <c r="D490" s="7">
        <v>6780.83</v>
      </c>
      <c r="E490" s="7">
        <v>6659.83</v>
      </c>
      <c r="F490" t="s">
        <v>799</v>
      </c>
      <c r="G490" s="8">
        <v>2.3E-2</v>
      </c>
    </row>
    <row r="491" spans="1:7" x14ac:dyDescent="0.25">
      <c r="A491" s="9">
        <v>44986</v>
      </c>
      <c r="B491" s="7">
        <v>6623.89</v>
      </c>
      <c r="C491" s="7">
        <v>6580.09</v>
      </c>
      <c r="D491" s="7">
        <v>6696.1</v>
      </c>
      <c r="E491" s="7">
        <v>6580.09</v>
      </c>
      <c r="F491" t="s">
        <v>800</v>
      </c>
      <c r="G491" s="8">
        <v>4.4000000000000003E-3</v>
      </c>
    </row>
    <row r="492" spans="1:7" x14ac:dyDescent="0.25">
      <c r="A492" s="9">
        <v>44958</v>
      </c>
      <c r="B492" s="7">
        <v>6594.57</v>
      </c>
      <c r="C492" s="7">
        <v>6521.07</v>
      </c>
      <c r="D492" s="7">
        <v>6601.11</v>
      </c>
      <c r="E492" s="7">
        <v>6518.21</v>
      </c>
      <c r="F492" t="s">
        <v>801</v>
      </c>
      <c r="G492" s="8">
        <v>1.8700000000000001E-2</v>
      </c>
    </row>
    <row r="493" spans="1:7" x14ac:dyDescent="0.25">
      <c r="A493" t="s">
        <v>802</v>
      </c>
      <c r="B493" s="7">
        <v>6473.76</v>
      </c>
      <c r="C493" s="7">
        <v>6533.12</v>
      </c>
      <c r="D493" s="7">
        <v>6540.51</v>
      </c>
      <c r="E493" s="7">
        <v>6470.64</v>
      </c>
      <c r="F493" t="s">
        <v>803</v>
      </c>
      <c r="G493" s="8">
        <v>-1.52E-2</v>
      </c>
    </row>
    <row r="494" spans="1:7" x14ac:dyDescent="0.25">
      <c r="A494" t="s">
        <v>804</v>
      </c>
      <c r="B494" s="7">
        <v>6573.47</v>
      </c>
      <c r="C494" s="7">
        <v>6486.65</v>
      </c>
      <c r="D494" s="7">
        <v>6577.08</v>
      </c>
      <c r="E494" s="7">
        <v>6474.73</v>
      </c>
      <c r="F494" t="s">
        <v>805</v>
      </c>
      <c r="G494" s="8">
        <v>9.7000000000000003E-3</v>
      </c>
    </row>
    <row r="495" spans="1:7" x14ac:dyDescent="0.25">
      <c r="A495" t="s">
        <v>806</v>
      </c>
      <c r="B495" s="7">
        <v>6510.49</v>
      </c>
      <c r="C495" s="7">
        <v>6561.5</v>
      </c>
      <c r="D495" s="7">
        <v>6572.12</v>
      </c>
      <c r="E495" s="7">
        <v>6505.67</v>
      </c>
      <c r="F495" t="s">
        <v>807</v>
      </c>
      <c r="G495" s="8">
        <v>-6.1000000000000004E-3</v>
      </c>
    </row>
    <row r="496" spans="1:7" x14ac:dyDescent="0.25">
      <c r="A496" t="s">
        <v>808</v>
      </c>
      <c r="B496" s="7">
        <v>6550.66</v>
      </c>
      <c r="C496" s="7">
        <v>6559.63</v>
      </c>
      <c r="D496" s="7">
        <v>6579.33</v>
      </c>
      <c r="E496" s="7">
        <v>6543.26</v>
      </c>
      <c r="F496" t="s">
        <v>809</v>
      </c>
      <c r="G496" s="8">
        <v>7.0000000000000001E-3</v>
      </c>
    </row>
    <row r="497" spans="1:7" x14ac:dyDescent="0.25">
      <c r="A497" t="s">
        <v>810</v>
      </c>
      <c r="B497" s="7">
        <v>6504.9</v>
      </c>
      <c r="C497" s="7">
        <v>6513.2</v>
      </c>
      <c r="D497" s="7">
        <v>6533.58</v>
      </c>
      <c r="E497" s="7">
        <v>6476.05</v>
      </c>
      <c r="F497" t="s">
        <v>811</v>
      </c>
      <c r="G497" s="8">
        <v>-2E-3</v>
      </c>
    </row>
    <row r="498" spans="1:7" x14ac:dyDescent="0.25">
      <c r="A498" t="s">
        <v>812</v>
      </c>
      <c r="B498" s="7">
        <v>6517.97</v>
      </c>
      <c r="C498" s="7">
        <v>6587.5</v>
      </c>
      <c r="D498" s="7">
        <v>6614.35</v>
      </c>
      <c r="E498" s="7">
        <v>6503.88</v>
      </c>
      <c r="F498" t="s">
        <v>813</v>
      </c>
      <c r="G498" s="8">
        <v>-9.4999999999999998E-3</v>
      </c>
    </row>
    <row r="499" spans="1:7" x14ac:dyDescent="0.25">
      <c r="A499" t="s">
        <v>814</v>
      </c>
      <c r="B499" s="7">
        <v>6580.24</v>
      </c>
      <c r="C499" s="7">
        <v>6469.11</v>
      </c>
      <c r="D499" s="7">
        <v>6586.48</v>
      </c>
      <c r="E499" s="7">
        <v>6467.57</v>
      </c>
      <c r="F499" t="s">
        <v>815</v>
      </c>
      <c r="G499" s="8">
        <v>2.01E-2</v>
      </c>
    </row>
    <row r="500" spans="1:7" x14ac:dyDescent="0.25">
      <c r="A500" t="s">
        <v>816</v>
      </c>
      <c r="B500" s="7">
        <v>6450.43</v>
      </c>
      <c r="C500" s="7">
        <v>6418.69</v>
      </c>
      <c r="D500" s="7">
        <v>6468.94</v>
      </c>
      <c r="E500" s="7">
        <v>6388.23</v>
      </c>
      <c r="F500" t="s">
        <v>817</v>
      </c>
      <c r="G500" s="8">
        <v>-3.5000000000000001E-3</v>
      </c>
    </row>
    <row r="501" spans="1:7" x14ac:dyDescent="0.25">
      <c r="A501" t="s">
        <v>818</v>
      </c>
      <c r="B501" s="7">
        <v>6473.29</v>
      </c>
      <c r="C501" s="7">
        <v>6470.93</v>
      </c>
      <c r="D501" s="7">
        <v>6510.46</v>
      </c>
      <c r="E501" s="7">
        <v>6470.93</v>
      </c>
      <c r="F501" t="s">
        <v>819</v>
      </c>
      <c r="G501" s="8">
        <v>3.2000000000000002E-3</v>
      </c>
    </row>
    <row r="502" spans="1:7" x14ac:dyDescent="0.25">
      <c r="A502" t="s">
        <v>820</v>
      </c>
      <c r="B502" s="7">
        <v>6452.63</v>
      </c>
      <c r="C502" s="7">
        <v>6505.63</v>
      </c>
      <c r="D502" s="7">
        <v>6515.7</v>
      </c>
      <c r="E502" s="7">
        <v>6418.95</v>
      </c>
      <c r="F502" t="s">
        <v>821</v>
      </c>
      <c r="G502" s="8">
        <v>-1.0800000000000001E-2</v>
      </c>
    </row>
    <row r="503" spans="1:7" x14ac:dyDescent="0.25">
      <c r="A503" t="s">
        <v>822</v>
      </c>
      <c r="B503" s="7">
        <v>6522.77</v>
      </c>
      <c r="C503" s="7">
        <v>6674.29</v>
      </c>
      <c r="D503" s="7">
        <v>6680.22</v>
      </c>
      <c r="E503" s="7">
        <v>6503</v>
      </c>
      <c r="F503" t="s">
        <v>823</v>
      </c>
      <c r="G503" s="8">
        <v>-3.09E-2</v>
      </c>
    </row>
    <row r="504" spans="1:7" x14ac:dyDescent="0.25">
      <c r="A504" t="s">
        <v>824</v>
      </c>
      <c r="B504" s="7">
        <v>6730.79</v>
      </c>
      <c r="C504" s="7">
        <v>6727.75</v>
      </c>
      <c r="D504" s="7">
        <v>6733.85</v>
      </c>
      <c r="E504" s="7">
        <v>6694.33</v>
      </c>
      <c r="F504" t="s">
        <v>825</v>
      </c>
      <c r="G504" s="8">
        <v>-2.0999999999999999E-3</v>
      </c>
    </row>
    <row r="505" spans="1:7" x14ac:dyDescent="0.25">
      <c r="A505" t="s">
        <v>826</v>
      </c>
      <c r="B505" s="7">
        <v>6744.98</v>
      </c>
      <c r="C505" s="7">
        <v>6672.22</v>
      </c>
      <c r="D505" s="7">
        <v>6823.1</v>
      </c>
      <c r="E505" s="7">
        <v>6642.09</v>
      </c>
      <c r="F505" t="s">
        <v>827</v>
      </c>
      <c r="G505" s="8">
        <v>1.4200000000000001E-2</v>
      </c>
    </row>
    <row r="506" spans="1:7" x14ac:dyDescent="0.25">
      <c r="A506" s="9">
        <v>44907</v>
      </c>
      <c r="B506" s="7">
        <v>6650.55</v>
      </c>
      <c r="C506" s="7">
        <v>6647.9</v>
      </c>
      <c r="D506" s="7">
        <v>6681.3</v>
      </c>
      <c r="E506" s="7">
        <v>6634.97</v>
      </c>
      <c r="F506" t="s">
        <v>828</v>
      </c>
      <c r="G506" s="8">
        <v>-4.1000000000000003E-3</v>
      </c>
    </row>
    <row r="507" spans="1:7" x14ac:dyDescent="0.25">
      <c r="A507" s="9">
        <v>44816</v>
      </c>
      <c r="B507" s="7">
        <v>6677.64</v>
      </c>
      <c r="C507" s="7">
        <v>6671.78</v>
      </c>
      <c r="D507" s="7">
        <v>6680.09</v>
      </c>
      <c r="E507" s="7">
        <v>6618.27</v>
      </c>
      <c r="F507" t="s">
        <v>829</v>
      </c>
      <c r="G507" s="8">
        <v>4.5999999999999999E-3</v>
      </c>
    </row>
    <row r="508" spans="1:7" x14ac:dyDescent="0.25">
      <c r="A508" s="9">
        <v>44785</v>
      </c>
      <c r="B508" s="7">
        <v>6647.31</v>
      </c>
      <c r="C508" s="7">
        <v>6677</v>
      </c>
      <c r="D508" s="7">
        <v>6679.57</v>
      </c>
      <c r="E508" s="7">
        <v>6629.36</v>
      </c>
      <c r="F508" t="s">
        <v>830</v>
      </c>
      <c r="G508" s="8">
        <v>-2E-3</v>
      </c>
    </row>
    <row r="509" spans="1:7" x14ac:dyDescent="0.25">
      <c r="A509" s="9">
        <v>44754</v>
      </c>
      <c r="B509" s="7">
        <v>6660.59</v>
      </c>
      <c r="C509" s="7">
        <v>6687.34</v>
      </c>
      <c r="D509" s="7">
        <v>6696.65</v>
      </c>
      <c r="E509" s="7">
        <v>6642.44</v>
      </c>
      <c r="F509" t="s">
        <v>815</v>
      </c>
      <c r="G509" s="8">
        <v>-4.1000000000000003E-3</v>
      </c>
    </row>
    <row r="510" spans="1:7" x14ac:dyDescent="0.25">
      <c r="A510" s="9">
        <v>44724</v>
      </c>
      <c r="B510" s="7">
        <v>6687.79</v>
      </c>
      <c r="C510" s="7">
        <v>6677.49</v>
      </c>
      <c r="D510" s="7">
        <v>6704.74</v>
      </c>
      <c r="E510" s="7">
        <v>6656.93</v>
      </c>
      <c r="F510" t="s">
        <v>831</v>
      </c>
      <c r="G510" s="8">
        <v>-1.4E-3</v>
      </c>
    </row>
    <row r="511" spans="1:7" x14ac:dyDescent="0.25">
      <c r="A511" s="9">
        <v>44693</v>
      </c>
      <c r="B511" s="7">
        <v>6696.96</v>
      </c>
      <c r="C511" s="7">
        <v>6728.71</v>
      </c>
      <c r="D511" s="7">
        <v>6738.97</v>
      </c>
      <c r="E511" s="7">
        <v>6685.52</v>
      </c>
      <c r="F511" t="s">
        <v>832</v>
      </c>
      <c r="G511" s="8">
        <v>-6.7000000000000002E-3</v>
      </c>
    </row>
    <row r="512" spans="1:7" x14ac:dyDescent="0.25">
      <c r="A512" s="9">
        <v>44604</v>
      </c>
      <c r="B512" s="7">
        <v>6742.25</v>
      </c>
      <c r="C512" s="7">
        <v>6728.86</v>
      </c>
      <c r="D512" s="7">
        <v>6767.72</v>
      </c>
      <c r="E512" s="7">
        <v>6689.76</v>
      </c>
      <c r="F512" t="s">
        <v>833</v>
      </c>
      <c r="G512" s="8">
        <v>-1.6999999999999999E-3</v>
      </c>
    </row>
    <row r="513" spans="1:7" x14ac:dyDescent="0.25">
      <c r="A513" s="9">
        <v>44573</v>
      </c>
      <c r="B513" s="7">
        <v>6753.97</v>
      </c>
      <c r="C513" s="7">
        <v>6784.6</v>
      </c>
      <c r="D513" s="7">
        <v>6791.31</v>
      </c>
      <c r="E513" s="7">
        <v>6730.55</v>
      </c>
      <c r="F513" t="s">
        <v>834</v>
      </c>
      <c r="G513" s="8">
        <v>2.3E-3</v>
      </c>
    </row>
    <row r="514" spans="1:7" x14ac:dyDescent="0.25">
      <c r="A514" t="s">
        <v>835</v>
      </c>
      <c r="B514" s="7">
        <v>6738.55</v>
      </c>
      <c r="C514" s="7">
        <v>6706.67</v>
      </c>
      <c r="D514" s="7">
        <v>6743.6</v>
      </c>
      <c r="E514" s="7">
        <v>6678.75</v>
      </c>
      <c r="F514" t="s">
        <v>836</v>
      </c>
      <c r="G514" s="8">
        <v>1.04E-2</v>
      </c>
    </row>
    <row r="515" spans="1:7" x14ac:dyDescent="0.25">
      <c r="A515" t="s">
        <v>837</v>
      </c>
      <c r="B515" s="7">
        <v>6668.97</v>
      </c>
      <c r="C515" s="7">
        <v>6686.96</v>
      </c>
      <c r="D515" s="7">
        <v>6695.86</v>
      </c>
      <c r="E515" s="7">
        <v>6649.88</v>
      </c>
      <c r="F515" t="s">
        <v>838</v>
      </c>
      <c r="G515" s="8">
        <v>5.9999999999999995E-4</v>
      </c>
    </row>
    <row r="516" spans="1:7" x14ac:dyDescent="0.25">
      <c r="A516" t="s">
        <v>839</v>
      </c>
      <c r="B516" s="7">
        <v>6665.2</v>
      </c>
      <c r="C516" s="7">
        <v>6678.11</v>
      </c>
      <c r="D516" s="7">
        <v>6693.92</v>
      </c>
      <c r="E516" s="7">
        <v>6641.3</v>
      </c>
      <c r="F516" t="s">
        <v>840</v>
      </c>
      <c r="G516" s="8">
        <v>-7.0000000000000001E-3</v>
      </c>
    </row>
    <row r="517" spans="1:7" x14ac:dyDescent="0.25">
      <c r="A517" t="s">
        <v>841</v>
      </c>
      <c r="B517" s="7">
        <v>6712.48</v>
      </c>
      <c r="C517" s="7">
        <v>6710.36</v>
      </c>
      <c r="D517" s="7">
        <v>6725</v>
      </c>
      <c r="E517" s="7">
        <v>6686.63</v>
      </c>
      <c r="F517" t="s">
        <v>842</v>
      </c>
      <c r="G517" s="8">
        <v>8.0000000000000004E-4</v>
      </c>
    </row>
    <row r="518" spans="1:7" x14ac:dyDescent="0.25">
      <c r="A518" t="s">
        <v>843</v>
      </c>
      <c r="B518" s="7">
        <v>6707.32</v>
      </c>
      <c r="C518" s="7">
        <v>6683.44</v>
      </c>
      <c r="D518" s="7">
        <v>6730.16</v>
      </c>
      <c r="E518" s="7">
        <v>6679.8</v>
      </c>
      <c r="F518" t="s">
        <v>844</v>
      </c>
      <c r="G518" s="8">
        <v>4.1999999999999997E-3</v>
      </c>
    </row>
    <row r="519" spans="1:7" x14ac:dyDescent="0.25">
      <c r="A519" t="s">
        <v>845</v>
      </c>
      <c r="B519" s="7">
        <v>6679.09</v>
      </c>
      <c r="C519" s="7">
        <v>6677.97</v>
      </c>
      <c r="D519" s="7">
        <v>6681.41</v>
      </c>
      <c r="E519" s="7">
        <v>6642.03</v>
      </c>
      <c r="F519" t="s">
        <v>846</v>
      </c>
      <c r="G519" s="8">
        <v>3.2000000000000002E-3</v>
      </c>
    </row>
    <row r="520" spans="1:7" x14ac:dyDescent="0.25">
      <c r="A520" t="s">
        <v>847</v>
      </c>
      <c r="B520" s="7">
        <v>6657.53</v>
      </c>
      <c r="C520" s="7">
        <v>6643.7</v>
      </c>
      <c r="D520" s="7">
        <v>6669.17</v>
      </c>
      <c r="E520" s="7">
        <v>6615.58</v>
      </c>
      <c r="F520" t="s">
        <v>848</v>
      </c>
      <c r="G520" s="8">
        <v>3.5000000000000001E-3</v>
      </c>
    </row>
    <row r="521" spans="1:7" x14ac:dyDescent="0.25">
      <c r="A521" t="s">
        <v>849</v>
      </c>
      <c r="B521" s="7">
        <v>6634.45</v>
      </c>
      <c r="C521" s="7">
        <v>6625.1</v>
      </c>
      <c r="D521" s="7">
        <v>6649.76</v>
      </c>
      <c r="E521" s="7">
        <v>6613.92</v>
      </c>
      <c r="F521" t="s">
        <v>850</v>
      </c>
      <c r="G521" s="8">
        <v>-1.5E-3</v>
      </c>
    </row>
    <row r="522" spans="1:7" x14ac:dyDescent="0.25">
      <c r="A522" t="s">
        <v>851</v>
      </c>
      <c r="B522" s="7">
        <v>6644.46</v>
      </c>
      <c r="C522" s="7">
        <v>6620.58</v>
      </c>
      <c r="D522" s="7">
        <v>6667.2</v>
      </c>
      <c r="E522" s="7">
        <v>6601.56</v>
      </c>
      <c r="F522" t="s">
        <v>852</v>
      </c>
      <c r="G522" s="8">
        <v>1.04E-2</v>
      </c>
    </row>
    <row r="523" spans="1:7" x14ac:dyDescent="0.25">
      <c r="A523" t="s">
        <v>853</v>
      </c>
      <c r="B523" s="7">
        <v>6576.12</v>
      </c>
      <c r="C523" s="7">
        <v>6624.47</v>
      </c>
      <c r="D523" s="7">
        <v>6634.73</v>
      </c>
      <c r="E523" s="7">
        <v>6522.28</v>
      </c>
      <c r="F523" t="s">
        <v>854</v>
      </c>
      <c r="G523" s="8">
        <v>-4.7000000000000002E-3</v>
      </c>
    </row>
    <row r="524" spans="1:7" x14ac:dyDescent="0.25">
      <c r="A524" t="s">
        <v>855</v>
      </c>
      <c r="B524" s="7">
        <v>6607.22</v>
      </c>
      <c r="C524" s="7">
        <v>6647.4</v>
      </c>
      <c r="D524" s="7">
        <v>6656.33</v>
      </c>
      <c r="E524" s="7">
        <v>6587.2</v>
      </c>
      <c r="F524" t="s">
        <v>856</v>
      </c>
      <c r="G524" s="8">
        <v>-5.1999999999999998E-3</v>
      </c>
    </row>
    <row r="525" spans="1:7" x14ac:dyDescent="0.25">
      <c r="A525" t="s">
        <v>857</v>
      </c>
      <c r="B525" s="7">
        <v>6641.66</v>
      </c>
      <c r="C525" s="7">
        <v>6626.82</v>
      </c>
      <c r="D525" s="7">
        <v>6684.09</v>
      </c>
      <c r="E525" s="7">
        <v>6621.82</v>
      </c>
      <c r="F525" t="s">
        <v>756</v>
      </c>
      <c r="G525" s="8">
        <v>4.8999999999999998E-3</v>
      </c>
    </row>
    <row r="526" spans="1:7" x14ac:dyDescent="0.25">
      <c r="A526" t="s">
        <v>858</v>
      </c>
      <c r="B526" s="7">
        <v>6609.17</v>
      </c>
      <c r="C526" s="7">
        <v>6622.42</v>
      </c>
      <c r="D526" s="7">
        <v>6662.07</v>
      </c>
      <c r="E526" s="7">
        <v>6603.56</v>
      </c>
      <c r="F526" t="s">
        <v>859</v>
      </c>
      <c r="G526" s="8">
        <v>2.2000000000000001E-3</v>
      </c>
    </row>
    <row r="527" spans="1:7" x14ac:dyDescent="0.25">
      <c r="A527" s="9">
        <v>44876</v>
      </c>
      <c r="B527" s="7">
        <v>6594.62</v>
      </c>
      <c r="C527" s="7">
        <v>6612.93</v>
      </c>
      <c r="D527" s="7">
        <v>6636.81</v>
      </c>
      <c r="E527" s="7">
        <v>6573.87</v>
      </c>
      <c r="F527" t="s">
        <v>860</v>
      </c>
      <c r="G527" s="8">
        <v>5.7999999999999996E-3</v>
      </c>
    </row>
    <row r="528" spans="1:7" x14ac:dyDescent="0.25">
      <c r="A528" s="9">
        <v>44845</v>
      </c>
      <c r="B528" s="7">
        <v>6556.83</v>
      </c>
      <c r="C528" s="7">
        <v>6396.59</v>
      </c>
      <c r="D528" s="7">
        <v>6573.85</v>
      </c>
      <c r="E528" s="7">
        <v>6381.42</v>
      </c>
      <c r="F528" t="s">
        <v>861</v>
      </c>
      <c r="G528" s="8">
        <v>1.9599999999999999E-2</v>
      </c>
    </row>
    <row r="529" spans="1:7" x14ac:dyDescent="0.25">
      <c r="A529" s="9">
        <v>44815</v>
      </c>
      <c r="B529" s="7">
        <v>6430.57</v>
      </c>
      <c r="C529" s="7">
        <v>6426.8</v>
      </c>
      <c r="D529" s="7">
        <v>6446.5</v>
      </c>
      <c r="E529" s="7">
        <v>6405.84</v>
      </c>
      <c r="F529" t="s">
        <v>862</v>
      </c>
      <c r="G529" s="8">
        <v>-1.6999999999999999E-3</v>
      </c>
    </row>
    <row r="530" spans="1:7" x14ac:dyDescent="0.25">
      <c r="A530" s="9">
        <v>44784</v>
      </c>
      <c r="B530" s="7">
        <v>6441.5</v>
      </c>
      <c r="C530" s="7">
        <v>6391.75</v>
      </c>
      <c r="D530" s="7">
        <v>6451.16</v>
      </c>
      <c r="E530" s="7">
        <v>6378.32</v>
      </c>
      <c r="F530" t="s">
        <v>308</v>
      </c>
      <c r="G530" s="8">
        <v>3.8999999999999998E-3</v>
      </c>
    </row>
    <row r="531" spans="1:7" x14ac:dyDescent="0.25">
      <c r="A531" s="9">
        <v>44753</v>
      </c>
      <c r="B531" s="7">
        <v>6416.61</v>
      </c>
      <c r="C531" s="7">
        <v>6379.49</v>
      </c>
      <c r="D531" s="7">
        <v>6442.41</v>
      </c>
      <c r="E531" s="7">
        <v>6363.7</v>
      </c>
      <c r="F531" t="s">
        <v>863</v>
      </c>
      <c r="G531" s="8">
        <v>0</v>
      </c>
    </row>
    <row r="532" spans="1:7" x14ac:dyDescent="0.25">
      <c r="A532" s="9">
        <v>44662</v>
      </c>
      <c r="B532" s="7">
        <v>6416.44</v>
      </c>
      <c r="C532" s="7">
        <v>6291.39</v>
      </c>
      <c r="D532" s="7">
        <v>6466.32</v>
      </c>
      <c r="E532" s="7">
        <v>6289.07</v>
      </c>
      <c r="F532" t="s">
        <v>864</v>
      </c>
      <c r="G532" s="8">
        <v>2.7699999999999999E-2</v>
      </c>
    </row>
    <row r="533" spans="1:7" x14ac:dyDescent="0.25">
      <c r="A533" s="9">
        <v>44631</v>
      </c>
      <c r="B533" s="7">
        <v>6243.28</v>
      </c>
      <c r="C533" s="7">
        <v>6209.63</v>
      </c>
      <c r="D533" s="7">
        <v>6245.69</v>
      </c>
      <c r="E533" s="7">
        <v>6191.73</v>
      </c>
      <c r="F533" t="s">
        <v>865</v>
      </c>
      <c r="G533" s="8">
        <v>-5.4000000000000003E-3</v>
      </c>
    </row>
    <row r="534" spans="1:7" x14ac:dyDescent="0.25">
      <c r="A534" s="9">
        <v>44603</v>
      </c>
      <c r="B534" s="7">
        <v>6276.88</v>
      </c>
      <c r="C534" s="7">
        <v>6351.31</v>
      </c>
      <c r="D534" s="7">
        <v>6376.29</v>
      </c>
      <c r="E534" s="7">
        <v>6273.55</v>
      </c>
      <c r="F534" t="s">
        <v>866</v>
      </c>
      <c r="G534" s="8">
        <v>-8.0999999999999996E-3</v>
      </c>
    </row>
    <row r="535" spans="1:7" x14ac:dyDescent="0.25">
      <c r="A535" s="9">
        <v>44572</v>
      </c>
      <c r="B535" s="7">
        <v>6328.25</v>
      </c>
      <c r="C535" s="7">
        <v>6329.76</v>
      </c>
      <c r="D535" s="7">
        <v>6383.7</v>
      </c>
      <c r="E535" s="7">
        <v>6306.05</v>
      </c>
      <c r="F535" t="s">
        <v>867</v>
      </c>
      <c r="G535" s="8">
        <v>9.7999999999999997E-3</v>
      </c>
    </row>
    <row r="536" spans="1:7" x14ac:dyDescent="0.25">
      <c r="A536" t="s">
        <v>868</v>
      </c>
      <c r="B536" s="7">
        <v>6266.77</v>
      </c>
      <c r="C536" s="7">
        <v>6279.7</v>
      </c>
      <c r="D536" s="7">
        <v>6293.15</v>
      </c>
      <c r="E536" s="7">
        <v>6244.08</v>
      </c>
      <c r="F536" t="s">
        <v>869</v>
      </c>
      <c r="G536" s="8">
        <v>-1E-3</v>
      </c>
    </row>
    <row r="537" spans="1:7" x14ac:dyDescent="0.25">
      <c r="A537" t="s">
        <v>870</v>
      </c>
      <c r="B537" s="7">
        <v>6273.05</v>
      </c>
      <c r="C537" s="7">
        <v>6192.18</v>
      </c>
      <c r="D537" s="7">
        <v>6278.77</v>
      </c>
      <c r="E537" s="7">
        <v>6183.41</v>
      </c>
      <c r="F537" t="s">
        <v>871</v>
      </c>
      <c r="G537" s="8">
        <v>4.5999999999999999E-3</v>
      </c>
    </row>
    <row r="538" spans="1:7" x14ac:dyDescent="0.25">
      <c r="A538" t="s">
        <v>872</v>
      </c>
      <c r="B538" s="7">
        <v>6244.03</v>
      </c>
      <c r="C538" s="7">
        <v>6253.85</v>
      </c>
      <c r="D538" s="7">
        <v>6272.2</v>
      </c>
      <c r="E538" s="7">
        <v>6194.33</v>
      </c>
      <c r="F538" t="s">
        <v>873</v>
      </c>
      <c r="G538" s="8">
        <v>-5.1000000000000004E-3</v>
      </c>
    </row>
    <row r="539" spans="1:7" x14ac:dyDescent="0.25">
      <c r="A539" t="s">
        <v>874</v>
      </c>
      <c r="B539" s="7">
        <v>6276.31</v>
      </c>
      <c r="C539" s="7">
        <v>6244.64</v>
      </c>
      <c r="D539" s="7">
        <v>6282.75</v>
      </c>
      <c r="E539" s="7">
        <v>6219.33</v>
      </c>
      <c r="F539" t="s">
        <v>875</v>
      </c>
      <c r="G539" s="8">
        <v>4.1000000000000003E-3</v>
      </c>
    </row>
    <row r="540" spans="1:7" x14ac:dyDescent="0.25">
      <c r="A540" t="s">
        <v>876</v>
      </c>
      <c r="B540" s="7">
        <v>6250.55</v>
      </c>
      <c r="C540" s="7">
        <v>6172.65</v>
      </c>
      <c r="D540" s="7">
        <v>6253.12</v>
      </c>
      <c r="E540" s="7">
        <v>6135.38</v>
      </c>
      <c r="F540" t="s">
        <v>877</v>
      </c>
      <c r="G540" s="8">
        <v>1.9400000000000001E-2</v>
      </c>
    </row>
    <row r="541" spans="1:7" x14ac:dyDescent="0.25">
      <c r="A541" t="s">
        <v>878</v>
      </c>
      <c r="B541" s="7">
        <v>6131.36</v>
      </c>
      <c r="C541" s="7">
        <v>6076.2</v>
      </c>
      <c r="D541" s="7">
        <v>6175.62</v>
      </c>
      <c r="E541" s="7">
        <v>6041.14</v>
      </c>
      <c r="F541" t="s">
        <v>879</v>
      </c>
      <c r="G541" s="8">
        <v>1.5900000000000001E-2</v>
      </c>
    </row>
    <row r="542" spans="1:7" x14ac:dyDescent="0.25">
      <c r="A542" t="s">
        <v>880</v>
      </c>
      <c r="B542" s="7">
        <v>6035.39</v>
      </c>
      <c r="C542" s="7">
        <v>6021.58</v>
      </c>
      <c r="D542" s="7">
        <v>6056.04</v>
      </c>
      <c r="E542" s="7">
        <v>5952.88</v>
      </c>
      <c r="F542" t="s">
        <v>881</v>
      </c>
      <c r="G542" s="8">
        <v>-8.5000000000000006E-3</v>
      </c>
    </row>
    <row r="543" spans="1:7" x14ac:dyDescent="0.25">
      <c r="A543" t="s">
        <v>882</v>
      </c>
      <c r="B543" s="7">
        <v>6086.9</v>
      </c>
      <c r="C543" s="7">
        <v>6046.81</v>
      </c>
      <c r="D543" s="7">
        <v>6103.5</v>
      </c>
      <c r="E543" s="7">
        <v>6029.53</v>
      </c>
      <c r="F543" t="s">
        <v>883</v>
      </c>
      <c r="G543" s="8">
        <v>7.6E-3</v>
      </c>
    </row>
    <row r="544" spans="1:7" x14ac:dyDescent="0.25">
      <c r="A544" t="s">
        <v>884</v>
      </c>
      <c r="B544" s="7">
        <v>6040.72</v>
      </c>
      <c r="C544" s="7">
        <v>6092.77</v>
      </c>
      <c r="D544" s="7">
        <v>6109.97</v>
      </c>
      <c r="E544" s="7">
        <v>6040.72</v>
      </c>
      <c r="F544" t="s">
        <v>885</v>
      </c>
      <c r="G544" s="8">
        <v>-4.3E-3</v>
      </c>
    </row>
    <row r="545" spans="1:7" x14ac:dyDescent="0.25">
      <c r="A545" t="s">
        <v>886</v>
      </c>
      <c r="B545" s="7">
        <v>6067</v>
      </c>
      <c r="C545" s="7">
        <v>6098.6</v>
      </c>
      <c r="D545" s="7">
        <v>6139.78</v>
      </c>
      <c r="E545" s="7">
        <v>6057.38</v>
      </c>
      <c r="F545" t="s">
        <v>887</v>
      </c>
      <c r="G545" s="8">
        <v>4.4000000000000003E-3</v>
      </c>
    </row>
    <row r="546" spans="1:7" x14ac:dyDescent="0.25">
      <c r="A546" t="s">
        <v>888</v>
      </c>
      <c r="B546" s="7">
        <v>6040.66</v>
      </c>
      <c r="C546" s="7">
        <v>5949.65</v>
      </c>
      <c r="D546" s="7">
        <v>6068.37</v>
      </c>
      <c r="E546" s="7">
        <v>5910.39</v>
      </c>
      <c r="F546" t="s">
        <v>889</v>
      </c>
      <c r="G546" s="8">
        <v>1.83E-2</v>
      </c>
    </row>
    <row r="547" spans="1:7" x14ac:dyDescent="0.25">
      <c r="A547" t="s">
        <v>890</v>
      </c>
      <c r="B547" s="7">
        <v>5931.92</v>
      </c>
      <c r="C547" s="7">
        <v>5965.8</v>
      </c>
      <c r="D547" s="7">
        <v>6044.75</v>
      </c>
      <c r="E547" s="7">
        <v>5921.15</v>
      </c>
      <c r="F547" t="s">
        <v>891</v>
      </c>
      <c r="G547" s="8">
        <v>8.9999999999999993E-3</v>
      </c>
    </row>
    <row r="548" spans="1:7" x14ac:dyDescent="0.25">
      <c r="A548" t="s">
        <v>892</v>
      </c>
      <c r="B548" s="7">
        <v>5879.19</v>
      </c>
      <c r="C548" s="7">
        <v>5792.54</v>
      </c>
      <c r="D548" s="7">
        <v>5899.82</v>
      </c>
      <c r="E548" s="7">
        <v>5704.87</v>
      </c>
      <c r="F548" t="s">
        <v>893</v>
      </c>
      <c r="G548" s="8">
        <v>1.04E-2</v>
      </c>
    </row>
    <row r="549" spans="1:7" x14ac:dyDescent="0.25">
      <c r="A549" s="9">
        <v>44905</v>
      </c>
      <c r="B549" s="7">
        <v>5818.47</v>
      </c>
      <c r="C549" s="7">
        <v>5842.1</v>
      </c>
      <c r="D549" s="7">
        <v>5872.49</v>
      </c>
      <c r="E549" s="7">
        <v>5788.66</v>
      </c>
      <c r="F549" t="s">
        <v>894</v>
      </c>
      <c r="G549" s="8">
        <v>-2.5000000000000001E-3</v>
      </c>
    </row>
    <row r="550" spans="1:7" x14ac:dyDescent="0.25">
      <c r="A550" s="9">
        <v>44875</v>
      </c>
      <c r="B550" s="7">
        <v>5833.2</v>
      </c>
      <c r="C550" s="7">
        <v>5796.83</v>
      </c>
      <c r="D550" s="7">
        <v>5849.58</v>
      </c>
      <c r="E550" s="7">
        <v>5770.48</v>
      </c>
      <c r="F550" t="s">
        <v>895</v>
      </c>
      <c r="G550" s="8">
        <v>-1.2999999999999999E-3</v>
      </c>
    </row>
    <row r="551" spans="1:7" x14ac:dyDescent="0.25">
      <c r="A551" s="9">
        <v>44844</v>
      </c>
      <c r="B551" s="7">
        <v>5840.55</v>
      </c>
      <c r="C551" s="7">
        <v>5806.57</v>
      </c>
      <c r="D551" s="7">
        <v>5883.85</v>
      </c>
      <c r="E551" s="7">
        <v>5796.31</v>
      </c>
      <c r="F551" t="s">
        <v>896</v>
      </c>
      <c r="G551" s="8">
        <v>-4.4999999999999997E-3</v>
      </c>
    </row>
    <row r="552" spans="1:7" x14ac:dyDescent="0.25">
      <c r="A552" s="9">
        <v>44752</v>
      </c>
      <c r="B552" s="7">
        <v>5866.94</v>
      </c>
      <c r="C552" s="7">
        <v>5911.96</v>
      </c>
      <c r="D552" s="7">
        <v>5956.95</v>
      </c>
      <c r="E552" s="7">
        <v>5855.66</v>
      </c>
      <c r="F552" t="s">
        <v>897</v>
      </c>
      <c r="G552" s="8">
        <v>-1.17E-2</v>
      </c>
    </row>
    <row r="553" spans="1:7" x14ac:dyDescent="0.25">
      <c r="A553" s="9">
        <v>44722</v>
      </c>
      <c r="B553" s="7">
        <v>5936.42</v>
      </c>
      <c r="C553" s="7">
        <v>6004.11</v>
      </c>
      <c r="D553" s="7">
        <v>6018.47</v>
      </c>
      <c r="E553" s="7">
        <v>5917.27</v>
      </c>
      <c r="F553" t="s">
        <v>898</v>
      </c>
      <c r="G553" s="8">
        <v>-8.2000000000000007E-3</v>
      </c>
    </row>
    <row r="554" spans="1:7" x14ac:dyDescent="0.25">
      <c r="A554" s="9">
        <v>44691</v>
      </c>
      <c r="B554" s="7">
        <v>5985.46</v>
      </c>
      <c r="C554" s="7">
        <v>6006.12</v>
      </c>
      <c r="D554" s="7">
        <v>6034.93</v>
      </c>
      <c r="E554" s="7">
        <v>5953.55</v>
      </c>
      <c r="F554" t="s">
        <v>899</v>
      </c>
      <c r="G554" s="8">
        <v>-8.9999999999999993E-3</v>
      </c>
    </row>
    <row r="555" spans="1:7" x14ac:dyDescent="0.25">
      <c r="A555" s="9">
        <v>44661</v>
      </c>
      <c r="B555" s="7">
        <v>6039.69</v>
      </c>
      <c r="C555" s="7">
        <v>5859.45</v>
      </c>
      <c r="D555" s="7">
        <v>6039.69</v>
      </c>
      <c r="E555" s="7">
        <v>5852.92</v>
      </c>
      <c r="F555" t="s">
        <v>900</v>
      </c>
      <c r="G555" s="8">
        <v>4.24E-2</v>
      </c>
    </row>
    <row r="556" spans="1:7" x14ac:dyDescent="0.25">
      <c r="A556" s="9">
        <v>44630</v>
      </c>
      <c r="B556" s="7">
        <v>5794.15</v>
      </c>
      <c r="C556" s="7">
        <v>5697.47</v>
      </c>
      <c r="D556" s="7">
        <v>5804.27</v>
      </c>
      <c r="E556" s="7">
        <v>5654.44</v>
      </c>
      <c r="F556" t="s">
        <v>901</v>
      </c>
      <c r="G556" s="8">
        <v>5.4999999999999997E-3</v>
      </c>
    </row>
    <row r="557" spans="1:7" x14ac:dyDescent="0.25">
      <c r="A557" t="s">
        <v>902</v>
      </c>
      <c r="B557" s="7">
        <v>5762.34</v>
      </c>
      <c r="C557" s="7">
        <v>5712.2</v>
      </c>
      <c r="D557" s="7">
        <v>5770.78</v>
      </c>
      <c r="E557" s="7">
        <v>5688.34</v>
      </c>
      <c r="F557" t="s">
        <v>738</v>
      </c>
      <c r="G557" s="8">
        <v>1.5100000000000001E-2</v>
      </c>
    </row>
    <row r="558" spans="1:7" x14ac:dyDescent="0.25">
      <c r="A558" t="s">
        <v>903</v>
      </c>
      <c r="B558" s="7">
        <v>5676.87</v>
      </c>
      <c r="C558" s="7">
        <v>5746.29</v>
      </c>
      <c r="D558" s="7">
        <v>5746.29</v>
      </c>
      <c r="E558" s="7">
        <v>5628.42</v>
      </c>
      <c r="F558" t="s">
        <v>904</v>
      </c>
      <c r="G558" s="8">
        <v>-1.5299999999999999E-2</v>
      </c>
    </row>
    <row r="559" spans="1:7" x14ac:dyDescent="0.25">
      <c r="A559" t="s">
        <v>905</v>
      </c>
      <c r="B559" s="7">
        <v>5765.01</v>
      </c>
      <c r="C559" s="7">
        <v>5692.54</v>
      </c>
      <c r="D559" s="7">
        <v>5773.08</v>
      </c>
      <c r="E559" s="7">
        <v>5651.49</v>
      </c>
      <c r="F559" t="s">
        <v>906</v>
      </c>
      <c r="G559" s="8">
        <v>1.9E-3</v>
      </c>
    </row>
    <row r="560" spans="1:7" x14ac:dyDescent="0.25">
      <c r="A560" t="s">
        <v>907</v>
      </c>
      <c r="B560" s="7">
        <v>5753.82</v>
      </c>
      <c r="C560" s="7">
        <v>5809.82</v>
      </c>
      <c r="D560" s="7">
        <v>5852.61</v>
      </c>
      <c r="E560" s="7">
        <v>5753.82</v>
      </c>
      <c r="F560" t="s">
        <v>908</v>
      </c>
      <c r="G560" s="8">
        <v>-2.7000000000000001E-3</v>
      </c>
    </row>
    <row r="561" spans="1:7" x14ac:dyDescent="0.25">
      <c r="A561" t="s">
        <v>909</v>
      </c>
      <c r="B561" s="7">
        <v>5769.39</v>
      </c>
      <c r="C561" s="7">
        <v>5744.49</v>
      </c>
      <c r="D561" s="7">
        <v>5828.05</v>
      </c>
      <c r="E561" s="7">
        <v>5736</v>
      </c>
      <c r="F561" t="s">
        <v>910</v>
      </c>
      <c r="G561" s="8">
        <v>-2.3999999999999998E-3</v>
      </c>
    </row>
    <row r="562" spans="1:7" x14ac:dyDescent="0.25">
      <c r="A562" t="s">
        <v>911</v>
      </c>
      <c r="B562" s="7">
        <v>5783.41</v>
      </c>
      <c r="C562" s="7">
        <v>5906.18</v>
      </c>
      <c r="D562" s="7">
        <v>5913.71</v>
      </c>
      <c r="E562" s="7">
        <v>5765.65</v>
      </c>
      <c r="F562" t="s">
        <v>912</v>
      </c>
      <c r="G562" s="8">
        <v>-2.2800000000000001E-2</v>
      </c>
    </row>
    <row r="563" spans="1:7" x14ac:dyDescent="0.25">
      <c r="A563" t="s">
        <v>913</v>
      </c>
      <c r="B563" s="7">
        <v>5918.5</v>
      </c>
      <c r="C563" s="7">
        <v>5928.54</v>
      </c>
      <c r="D563" s="7">
        <v>6022.39</v>
      </c>
      <c r="E563" s="7">
        <v>5918.5</v>
      </c>
      <c r="F563" t="s">
        <v>914</v>
      </c>
      <c r="G563" s="8">
        <v>-1.8700000000000001E-2</v>
      </c>
    </row>
    <row r="564" spans="1:7" x14ac:dyDescent="0.25">
      <c r="A564" t="s">
        <v>915</v>
      </c>
      <c r="B564" s="7">
        <v>6031.33</v>
      </c>
      <c r="C564" s="7">
        <v>5928.5</v>
      </c>
      <c r="D564" s="7">
        <v>6034.27</v>
      </c>
      <c r="E564" s="7">
        <v>5915.57</v>
      </c>
      <c r="F564" t="s">
        <v>916</v>
      </c>
      <c r="G564" s="8">
        <v>8.6999999999999994E-3</v>
      </c>
    </row>
    <row r="565" spans="1:7" x14ac:dyDescent="0.25">
      <c r="A565" t="s">
        <v>917</v>
      </c>
      <c r="B565" s="7">
        <v>5979.47</v>
      </c>
      <c r="C565" s="7">
        <v>6084.41</v>
      </c>
      <c r="D565" s="7">
        <v>6118.25</v>
      </c>
      <c r="E565" s="7">
        <v>5970.23</v>
      </c>
      <c r="F565" t="s">
        <v>918</v>
      </c>
      <c r="G565" s="8">
        <v>-1.35E-2</v>
      </c>
    </row>
    <row r="566" spans="1:7" x14ac:dyDescent="0.25">
      <c r="A566" t="s">
        <v>919</v>
      </c>
      <c r="B566" s="7">
        <v>6061.59</v>
      </c>
      <c r="C566" s="7">
        <v>6049</v>
      </c>
      <c r="D566" s="7">
        <v>6093.4</v>
      </c>
      <c r="E566" s="7">
        <v>5974.72</v>
      </c>
      <c r="F566" t="s">
        <v>920</v>
      </c>
      <c r="G566" s="8">
        <v>-2.5999999999999999E-3</v>
      </c>
    </row>
    <row r="567" spans="1:7" x14ac:dyDescent="0.25">
      <c r="A567" t="s">
        <v>921</v>
      </c>
      <c r="B567" s="7">
        <v>6077.3</v>
      </c>
      <c r="C567" s="7">
        <v>6100.79</v>
      </c>
      <c r="D567" s="7">
        <v>6114.36</v>
      </c>
      <c r="E567" s="7">
        <v>6052.42</v>
      </c>
      <c r="F567" t="s">
        <v>922</v>
      </c>
      <c r="G567" s="8">
        <v>-1.3100000000000001E-2</v>
      </c>
    </row>
    <row r="568" spans="1:7" x14ac:dyDescent="0.25">
      <c r="A568" t="s">
        <v>923</v>
      </c>
      <c r="B568" s="7">
        <v>6157.84</v>
      </c>
      <c r="C568" s="7">
        <v>6212.21</v>
      </c>
      <c r="D568" s="7">
        <v>6249.52</v>
      </c>
      <c r="E568" s="7">
        <v>6143.36</v>
      </c>
      <c r="F568" t="s">
        <v>924</v>
      </c>
      <c r="G568" s="8">
        <v>-1.04E-2</v>
      </c>
    </row>
    <row r="569" spans="1:7" x14ac:dyDescent="0.25">
      <c r="A569" t="s">
        <v>925</v>
      </c>
      <c r="B569" s="7">
        <v>6222.41</v>
      </c>
      <c r="C569" s="7">
        <v>6210.77</v>
      </c>
      <c r="D569" s="7">
        <v>6249.29</v>
      </c>
      <c r="E569" s="7">
        <v>6183.55</v>
      </c>
      <c r="F569" t="s">
        <v>926</v>
      </c>
      <c r="G569" s="8">
        <v>-3.7000000000000002E-3</v>
      </c>
    </row>
    <row r="570" spans="1:7" x14ac:dyDescent="0.25">
      <c r="A570" t="s">
        <v>927</v>
      </c>
      <c r="B570" s="7">
        <v>6245.69</v>
      </c>
      <c r="C570" s="7">
        <v>6360.31</v>
      </c>
      <c r="D570" s="7">
        <v>6394.18</v>
      </c>
      <c r="E570" s="7">
        <v>6245.69</v>
      </c>
      <c r="F570" t="s">
        <v>928</v>
      </c>
      <c r="G570" s="8">
        <v>-1.3899999999999999E-2</v>
      </c>
    </row>
    <row r="571" spans="1:7" x14ac:dyDescent="0.25">
      <c r="A571" s="9">
        <v>44904</v>
      </c>
      <c r="B571" s="7">
        <v>6333.59</v>
      </c>
      <c r="C571" s="7">
        <v>6242.46</v>
      </c>
      <c r="D571" s="7">
        <v>6352.45</v>
      </c>
      <c r="E571" s="7">
        <v>6224.51</v>
      </c>
      <c r="F571" t="s">
        <v>929</v>
      </c>
      <c r="G571" s="8">
        <v>1.95E-2</v>
      </c>
    </row>
    <row r="572" spans="1:7" x14ac:dyDescent="0.25">
      <c r="A572" s="9">
        <v>44813</v>
      </c>
      <c r="B572" s="7">
        <v>6212.33</v>
      </c>
      <c r="C572" s="7">
        <v>6140.87</v>
      </c>
      <c r="D572" s="7">
        <v>6239.11</v>
      </c>
      <c r="E572" s="7">
        <v>6138.88</v>
      </c>
      <c r="F572" t="s">
        <v>930</v>
      </c>
      <c r="G572" s="8">
        <v>1.41E-2</v>
      </c>
    </row>
    <row r="573" spans="1:7" x14ac:dyDescent="0.25">
      <c r="A573" s="9">
        <v>44782</v>
      </c>
      <c r="B573" s="7">
        <v>6125.9</v>
      </c>
      <c r="C573" s="7">
        <v>6136.93</v>
      </c>
      <c r="D573" s="7">
        <v>6143.29</v>
      </c>
      <c r="E573" s="7">
        <v>6034.79</v>
      </c>
      <c r="F573" t="s">
        <v>931</v>
      </c>
      <c r="G573" s="8">
        <v>3.3E-3</v>
      </c>
    </row>
    <row r="574" spans="1:7" x14ac:dyDescent="0.25">
      <c r="A574" s="9">
        <v>44751</v>
      </c>
      <c r="B574" s="7">
        <v>6105.92</v>
      </c>
      <c r="C574" s="7">
        <v>6059.64</v>
      </c>
      <c r="D574" s="7">
        <v>6119.95</v>
      </c>
      <c r="E574" s="7">
        <v>6045.27</v>
      </c>
      <c r="F574" t="s">
        <v>932</v>
      </c>
      <c r="G574" s="8">
        <v>2.0000000000000001E-4</v>
      </c>
    </row>
    <row r="575" spans="1:7" x14ac:dyDescent="0.25">
      <c r="A575" s="9">
        <v>44721</v>
      </c>
      <c r="B575" s="7">
        <v>6104.61</v>
      </c>
      <c r="C575" s="7">
        <v>6083.02</v>
      </c>
      <c r="D575" s="7">
        <v>6138.22</v>
      </c>
      <c r="E575" s="7">
        <v>6060.44</v>
      </c>
      <c r="F575" t="s">
        <v>933</v>
      </c>
      <c r="G575" s="8">
        <v>1.9E-3</v>
      </c>
    </row>
    <row r="576" spans="1:7" x14ac:dyDescent="0.25">
      <c r="A576" s="9">
        <v>44690</v>
      </c>
      <c r="B576" s="7">
        <v>6093.22</v>
      </c>
      <c r="C576" s="7">
        <v>6048.22</v>
      </c>
      <c r="D576" s="7">
        <v>6105.59</v>
      </c>
      <c r="E576" s="7">
        <v>6018.02</v>
      </c>
      <c r="F576" t="s">
        <v>293</v>
      </c>
      <c r="G576" s="8">
        <v>-1.2E-2</v>
      </c>
    </row>
    <row r="577" spans="1:7" x14ac:dyDescent="0.25">
      <c r="A577" s="9">
        <v>44601</v>
      </c>
      <c r="B577" s="7">
        <v>6167.51</v>
      </c>
      <c r="C577" s="7">
        <v>6075.73</v>
      </c>
      <c r="D577" s="7">
        <v>6178.29</v>
      </c>
      <c r="E577" s="7">
        <v>6051.02</v>
      </c>
      <c r="F577" t="s">
        <v>934</v>
      </c>
      <c r="G577" s="8">
        <v>2.2100000000000002E-2</v>
      </c>
    </row>
    <row r="578" spans="1:7" x14ac:dyDescent="0.25">
      <c r="A578" s="9">
        <v>44570</v>
      </c>
      <c r="B578" s="7">
        <v>6034.31</v>
      </c>
      <c r="C578" s="7">
        <v>6068.34</v>
      </c>
      <c r="D578" s="7">
        <v>6072.93</v>
      </c>
      <c r="E578" s="7">
        <v>6009.09</v>
      </c>
      <c r="F578" t="s">
        <v>935</v>
      </c>
      <c r="G578" s="8">
        <v>-1.4800000000000001E-2</v>
      </c>
    </row>
    <row r="579" spans="1:7" x14ac:dyDescent="0.25">
      <c r="A579" t="s">
        <v>936</v>
      </c>
      <c r="B579" s="7">
        <v>6125.1</v>
      </c>
      <c r="C579" s="7">
        <v>6226.99</v>
      </c>
      <c r="D579" s="7">
        <v>6230.9</v>
      </c>
      <c r="E579" s="7">
        <v>6125.1</v>
      </c>
      <c r="F579" t="s">
        <v>937</v>
      </c>
      <c r="G579" s="8">
        <v>-1.37E-2</v>
      </c>
    </row>
    <row r="580" spans="1:7" x14ac:dyDescent="0.25">
      <c r="A580" t="s">
        <v>938</v>
      </c>
      <c r="B580" s="7">
        <v>6210.22</v>
      </c>
      <c r="C580" s="7">
        <v>6243.08</v>
      </c>
      <c r="D580" s="7">
        <v>6303.66</v>
      </c>
      <c r="E580" s="7">
        <v>6182.63</v>
      </c>
      <c r="F580" t="s">
        <v>939</v>
      </c>
      <c r="G580" s="8">
        <v>-1.9E-3</v>
      </c>
    </row>
    <row r="581" spans="1:7" x14ac:dyDescent="0.25">
      <c r="A581" t="s">
        <v>940</v>
      </c>
      <c r="B581" s="7">
        <v>6222.28</v>
      </c>
      <c r="C581" s="7">
        <v>6199.11</v>
      </c>
      <c r="D581" s="7">
        <v>6232.25</v>
      </c>
      <c r="E581" s="7">
        <v>6153.44</v>
      </c>
      <c r="F581" t="s">
        <v>941</v>
      </c>
      <c r="G581" s="8">
        <v>-8.3000000000000001E-3</v>
      </c>
    </row>
    <row r="582" spans="1:7" x14ac:dyDescent="0.25">
      <c r="A582" t="s">
        <v>942</v>
      </c>
      <c r="B582" s="7">
        <v>6274.26</v>
      </c>
      <c r="C582" s="7">
        <v>6420.75</v>
      </c>
      <c r="D582" s="7">
        <v>6429.79</v>
      </c>
      <c r="E582" s="7">
        <v>6252.59</v>
      </c>
      <c r="F582" t="s">
        <v>569</v>
      </c>
      <c r="G582" s="8">
        <v>-1.6799999999999999E-2</v>
      </c>
    </row>
    <row r="583" spans="1:7" x14ac:dyDescent="0.25">
      <c r="A583" t="s">
        <v>943</v>
      </c>
      <c r="B583" s="7">
        <v>6381.56</v>
      </c>
      <c r="C583" s="7">
        <v>6432.16</v>
      </c>
      <c r="D583" s="7">
        <v>6440.69</v>
      </c>
      <c r="E583" s="7">
        <v>6361.53</v>
      </c>
      <c r="F583" t="s">
        <v>944</v>
      </c>
      <c r="G583" s="8">
        <v>-8.0000000000000004E-4</v>
      </c>
    </row>
    <row r="584" spans="1:7" x14ac:dyDescent="0.25">
      <c r="A584" t="s">
        <v>945</v>
      </c>
      <c r="B584" s="7">
        <v>6386.76</v>
      </c>
      <c r="C584" s="7">
        <v>6332.43</v>
      </c>
      <c r="D584" s="7">
        <v>6396.63</v>
      </c>
      <c r="E584" s="7">
        <v>6319.7</v>
      </c>
      <c r="F584" t="s">
        <v>946</v>
      </c>
      <c r="G584" s="8">
        <v>3.8999999999999998E-3</v>
      </c>
    </row>
    <row r="585" spans="1:7" x14ac:dyDescent="0.25">
      <c r="A585" t="s">
        <v>947</v>
      </c>
      <c r="B585" s="7">
        <v>6362.02</v>
      </c>
      <c r="C585" s="7">
        <v>6331.17</v>
      </c>
      <c r="D585" s="7">
        <v>6402.22</v>
      </c>
      <c r="E585" s="7">
        <v>6331.17</v>
      </c>
      <c r="F585" t="s">
        <v>948</v>
      </c>
      <c r="G585" s="8">
        <v>-2.5999999999999999E-3</v>
      </c>
    </row>
    <row r="586" spans="1:7" x14ac:dyDescent="0.25">
      <c r="A586" t="s">
        <v>949</v>
      </c>
      <c r="B586" s="7">
        <v>6378.74</v>
      </c>
      <c r="C586" s="7">
        <v>6448.81</v>
      </c>
      <c r="D586" s="7">
        <v>6459.36</v>
      </c>
      <c r="E586" s="7">
        <v>6352.97</v>
      </c>
      <c r="F586" t="s">
        <v>110</v>
      </c>
      <c r="G586" s="8">
        <v>-1.7999999999999999E-2</v>
      </c>
    </row>
    <row r="587" spans="1:7" x14ac:dyDescent="0.25">
      <c r="A587" t="s">
        <v>950</v>
      </c>
      <c r="B587" s="7">
        <v>6495.83</v>
      </c>
      <c r="C587" s="7">
        <v>6520.44</v>
      </c>
      <c r="D587" s="7">
        <v>6549.13</v>
      </c>
      <c r="E587" s="7">
        <v>6488</v>
      </c>
      <c r="F587" t="s">
        <v>951</v>
      </c>
      <c r="G587" s="8">
        <v>-9.4000000000000004E-3</v>
      </c>
    </row>
    <row r="588" spans="1:7" x14ac:dyDescent="0.25">
      <c r="A588" t="s">
        <v>952</v>
      </c>
      <c r="B588" s="7">
        <v>6557.4</v>
      </c>
      <c r="C588" s="7">
        <v>6530.58</v>
      </c>
      <c r="D588" s="7">
        <v>6576.37</v>
      </c>
      <c r="E588" s="7">
        <v>6519.57</v>
      </c>
      <c r="F588" t="s">
        <v>953</v>
      </c>
      <c r="G588" s="8">
        <v>4.4999999999999997E-3</v>
      </c>
    </row>
    <row r="589" spans="1:7" x14ac:dyDescent="0.25">
      <c r="A589" t="s">
        <v>954</v>
      </c>
      <c r="B589" s="7">
        <v>6528.32</v>
      </c>
      <c r="C589" s="7">
        <v>6608.64</v>
      </c>
      <c r="D589" s="7">
        <v>6608.64</v>
      </c>
      <c r="E589" s="7">
        <v>6517.99</v>
      </c>
      <c r="F589" t="s">
        <v>955</v>
      </c>
      <c r="G589" s="8">
        <v>-9.7000000000000003E-3</v>
      </c>
    </row>
    <row r="590" spans="1:7" x14ac:dyDescent="0.25">
      <c r="A590" t="s">
        <v>956</v>
      </c>
      <c r="B590" s="7">
        <v>6592.58</v>
      </c>
      <c r="C590" s="7">
        <v>6580.99</v>
      </c>
      <c r="D590" s="7">
        <v>6608.83</v>
      </c>
      <c r="E590" s="7">
        <v>6568.58</v>
      </c>
      <c r="F590" t="s">
        <v>957</v>
      </c>
      <c r="G590" s="8">
        <v>3.3999999999999998E-3</v>
      </c>
    </row>
    <row r="591" spans="1:7" x14ac:dyDescent="0.25">
      <c r="A591" t="s">
        <v>958</v>
      </c>
      <c r="B591" s="7">
        <v>6569.95</v>
      </c>
      <c r="C591" s="7">
        <v>6582.63</v>
      </c>
      <c r="D591" s="7">
        <v>6586.96</v>
      </c>
      <c r="E591" s="7">
        <v>6532.48</v>
      </c>
      <c r="F591" t="s">
        <v>163</v>
      </c>
      <c r="G591" s="8">
        <v>2.5000000000000001E-3</v>
      </c>
    </row>
    <row r="592" spans="1:7" x14ac:dyDescent="0.25">
      <c r="A592" s="9">
        <v>44903</v>
      </c>
      <c r="B592" s="7">
        <v>6553.86</v>
      </c>
      <c r="C592" s="7">
        <v>6553.24</v>
      </c>
      <c r="D592" s="7">
        <v>6587.84</v>
      </c>
      <c r="E592" s="7">
        <v>6539.75</v>
      </c>
      <c r="F592" t="s">
        <v>959</v>
      </c>
      <c r="G592" s="8">
        <v>1.4E-3</v>
      </c>
    </row>
    <row r="593" spans="1:7" x14ac:dyDescent="0.25">
      <c r="A593" s="9">
        <v>44873</v>
      </c>
      <c r="B593" s="7">
        <v>6544.67</v>
      </c>
      <c r="C593" s="7">
        <v>6560.21</v>
      </c>
      <c r="D593" s="7">
        <v>6562.32</v>
      </c>
      <c r="E593" s="7">
        <v>6499.63</v>
      </c>
      <c r="F593" t="s">
        <v>960</v>
      </c>
      <c r="G593" s="8">
        <v>3.3E-3</v>
      </c>
    </row>
    <row r="594" spans="1:7" x14ac:dyDescent="0.25">
      <c r="A594" s="9">
        <v>44842</v>
      </c>
      <c r="B594" s="7">
        <v>6523.44</v>
      </c>
      <c r="C594" s="7">
        <v>6467.1</v>
      </c>
      <c r="D594" s="7">
        <v>6545.64</v>
      </c>
      <c r="E594" s="7">
        <v>6453.79</v>
      </c>
      <c r="F594" t="s">
        <v>961</v>
      </c>
      <c r="G594" s="8">
        <v>5.1999999999999998E-3</v>
      </c>
    </row>
    <row r="595" spans="1:7" x14ac:dyDescent="0.25">
      <c r="A595" s="9">
        <v>44812</v>
      </c>
      <c r="B595" s="7">
        <v>6490</v>
      </c>
      <c r="C595" s="7">
        <v>6514.52</v>
      </c>
      <c r="D595" s="7">
        <v>6530.35</v>
      </c>
      <c r="E595" s="7">
        <v>6480.06</v>
      </c>
      <c r="F595" t="s">
        <v>239</v>
      </c>
      <c r="G595" s="8">
        <v>-5.3E-3</v>
      </c>
    </row>
    <row r="596" spans="1:7" x14ac:dyDescent="0.25">
      <c r="A596" s="9">
        <v>44781</v>
      </c>
      <c r="B596" s="7">
        <v>6524.44</v>
      </c>
      <c r="C596" s="7">
        <v>6510.45</v>
      </c>
      <c r="D596" s="7">
        <v>6564.24</v>
      </c>
      <c r="E596" s="7">
        <v>6503.27</v>
      </c>
      <c r="F596" t="s">
        <v>962</v>
      </c>
      <c r="G596" s="8">
        <v>8.0000000000000002E-3</v>
      </c>
    </row>
    <row r="597" spans="1:7" x14ac:dyDescent="0.25">
      <c r="A597" s="9">
        <v>44689</v>
      </c>
      <c r="B597" s="7">
        <v>6472.35</v>
      </c>
      <c r="C597" s="7">
        <v>6512.62</v>
      </c>
      <c r="D597" s="7">
        <v>6523.03</v>
      </c>
      <c r="E597" s="7">
        <v>6449.72</v>
      </c>
      <c r="F597" t="s">
        <v>963</v>
      </c>
      <c r="G597" s="8">
        <v>-6.3E-3</v>
      </c>
    </row>
    <row r="598" spans="1:7" x14ac:dyDescent="0.25">
      <c r="A598" s="9">
        <v>44659</v>
      </c>
      <c r="B598" s="7">
        <v>6513.39</v>
      </c>
      <c r="C598" s="7">
        <v>6476.72</v>
      </c>
      <c r="D598" s="7">
        <v>6555.71</v>
      </c>
      <c r="E598" s="7">
        <v>6475.05</v>
      </c>
      <c r="F598" t="s">
        <v>964</v>
      </c>
      <c r="G598" s="8">
        <v>6.4000000000000003E-3</v>
      </c>
    </row>
    <row r="599" spans="1:7" x14ac:dyDescent="0.25">
      <c r="A599" s="9">
        <v>44628</v>
      </c>
      <c r="B599" s="7">
        <v>6472.06</v>
      </c>
      <c r="C599" s="7">
        <v>6404.1</v>
      </c>
      <c r="D599" s="7">
        <v>6475.54</v>
      </c>
      <c r="E599" s="7">
        <v>6398.99</v>
      </c>
      <c r="F599" t="s">
        <v>965</v>
      </c>
      <c r="G599" s="8">
        <v>9.7000000000000003E-3</v>
      </c>
    </row>
    <row r="600" spans="1:7" x14ac:dyDescent="0.25">
      <c r="A600" s="9">
        <v>44600</v>
      </c>
      <c r="B600" s="7">
        <v>6409.8</v>
      </c>
      <c r="C600" s="7">
        <v>6424.68</v>
      </c>
      <c r="D600" s="7">
        <v>6429.05</v>
      </c>
      <c r="E600" s="7">
        <v>6381.43</v>
      </c>
      <c r="F600" t="s">
        <v>966</v>
      </c>
      <c r="G600" s="8">
        <v>-4.1999999999999997E-3</v>
      </c>
    </row>
    <row r="601" spans="1:7" x14ac:dyDescent="0.25">
      <c r="A601" s="9">
        <v>44569</v>
      </c>
      <c r="B601" s="7">
        <v>6436.86</v>
      </c>
      <c r="C601" s="7">
        <v>6447.18</v>
      </c>
      <c r="D601" s="7">
        <v>6484.08</v>
      </c>
      <c r="E601" s="7">
        <v>6434.12</v>
      </c>
      <c r="F601" t="s">
        <v>967</v>
      </c>
      <c r="G601" s="8">
        <v>-1.8E-3</v>
      </c>
    </row>
    <row r="602" spans="1:7" x14ac:dyDescent="0.25">
      <c r="A602" t="s">
        <v>968</v>
      </c>
      <c r="B602" s="7">
        <v>6448.5</v>
      </c>
      <c r="C602" s="7">
        <v>6413.1</v>
      </c>
      <c r="D602" s="7">
        <v>6472.27</v>
      </c>
      <c r="E602" s="7">
        <v>6397.91</v>
      </c>
      <c r="F602" t="s">
        <v>969</v>
      </c>
      <c r="G602" s="8">
        <v>1.72E-2</v>
      </c>
    </row>
    <row r="603" spans="1:7" x14ac:dyDescent="0.25">
      <c r="A603" t="s">
        <v>970</v>
      </c>
      <c r="B603" s="7">
        <v>6339.21</v>
      </c>
      <c r="C603" s="7">
        <v>6304.13</v>
      </c>
      <c r="D603" s="7">
        <v>6339.21</v>
      </c>
      <c r="E603" s="7">
        <v>6236.57</v>
      </c>
      <c r="F603" t="s">
        <v>971</v>
      </c>
      <c r="G603" s="8">
        <v>1.2999999999999999E-2</v>
      </c>
    </row>
    <row r="604" spans="1:7" x14ac:dyDescent="0.25">
      <c r="A604" t="s">
        <v>972</v>
      </c>
      <c r="B604" s="7">
        <v>6257.94</v>
      </c>
      <c r="C604" s="7">
        <v>6206.25</v>
      </c>
      <c r="D604" s="7">
        <v>6267.8</v>
      </c>
      <c r="E604" s="7">
        <v>6199.93</v>
      </c>
      <c r="F604" t="s">
        <v>276</v>
      </c>
      <c r="G604" s="8">
        <v>7.4999999999999997E-3</v>
      </c>
    </row>
    <row r="605" spans="1:7" x14ac:dyDescent="0.25">
      <c r="A605" t="s">
        <v>973</v>
      </c>
      <c r="B605" s="7">
        <v>6211.45</v>
      </c>
      <c r="C605" s="7">
        <v>6225.17</v>
      </c>
      <c r="D605" s="7">
        <v>6243.86</v>
      </c>
      <c r="E605" s="7">
        <v>6194.96</v>
      </c>
      <c r="F605" t="s">
        <v>974</v>
      </c>
      <c r="G605" s="8">
        <v>-4.1999999999999997E-3</v>
      </c>
    </row>
    <row r="606" spans="1:7" x14ac:dyDescent="0.25">
      <c r="A606" t="s">
        <v>975</v>
      </c>
      <c r="B606" s="7">
        <v>6237.55</v>
      </c>
      <c r="C606" s="7">
        <v>6198.83</v>
      </c>
      <c r="D606" s="7">
        <v>6260.13</v>
      </c>
      <c r="E606" s="7">
        <v>6177.14</v>
      </c>
      <c r="F606" t="s">
        <v>976</v>
      </c>
      <c r="G606" s="8">
        <v>3.3E-3</v>
      </c>
    </row>
    <row r="607" spans="1:7" x14ac:dyDescent="0.25">
      <c r="A607" t="s">
        <v>977</v>
      </c>
      <c r="B607" s="7">
        <v>6216.82</v>
      </c>
      <c r="C607" s="7">
        <v>6174.29</v>
      </c>
      <c r="D607" s="7">
        <v>6247.35</v>
      </c>
      <c r="E607" s="7">
        <v>6168.77</v>
      </c>
      <c r="F607" t="s">
        <v>978</v>
      </c>
      <c r="G607" s="8">
        <v>2.5000000000000001E-3</v>
      </c>
    </row>
    <row r="608" spans="1:7" x14ac:dyDescent="0.25">
      <c r="A608" t="s">
        <v>979</v>
      </c>
      <c r="B608" s="7">
        <v>6201.11</v>
      </c>
      <c r="C608" s="7">
        <v>6160.37</v>
      </c>
      <c r="D608" s="7">
        <v>6233.98</v>
      </c>
      <c r="E608" s="7">
        <v>6143.06</v>
      </c>
      <c r="F608" t="s">
        <v>980</v>
      </c>
      <c r="G608" s="8">
        <v>2.7000000000000001E-3</v>
      </c>
    </row>
    <row r="609" spans="1:7" x14ac:dyDescent="0.25">
      <c r="A609" t="s">
        <v>981</v>
      </c>
      <c r="B609" s="7">
        <v>6184.66</v>
      </c>
      <c r="C609" s="7">
        <v>6229.79</v>
      </c>
      <c r="D609" s="7">
        <v>6245.47</v>
      </c>
      <c r="E609" s="7">
        <v>6151.36</v>
      </c>
      <c r="F609" t="s">
        <v>982</v>
      </c>
      <c r="G609" s="8">
        <v>-2.7000000000000001E-3</v>
      </c>
    </row>
    <row r="610" spans="1:7" x14ac:dyDescent="0.25">
      <c r="A610" t="s">
        <v>983</v>
      </c>
      <c r="B610" s="7">
        <v>6201.22</v>
      </c>
      <c r="C610" s="7">
        <v>6031.6</v>
      </c>
      <c r="D610" s="7">
        <v>6213.88</v>
      </c>
      <c r="E610" s="7">
        <v>6028.79</v>
      </c>
      <c r="F610" t="s">
        <v>863</v>
      </c>
      <c r="G610" s="8">
        <v>1.7899999999999999E-2</v>
      </c>
    </row>
    <row r="611" spans="1:7" x14ac:dyDescent="0.25">
      <c r="A611" t="s">
        <v>984</v>
      </c>
      <c r="B611" s="7">
        <v>6091.91</v>
      </c>
      <c r="C611" s="7">
        <v>6070.21</v>
      </c>
      <c r="D611" s="7">
        <v>6136.02</v>
      </c>
      <c r="E611" s="7">
        <v>6059.87</v>
      </c>
      <c r="F611" t="s">
        <v>985</v>
      </c>
      <c r="G611" s="8">
        <v>9.2999999999999992E-3</v>
      </c>
    </row>
    <row r="612" spans="1:7" x14ac:dyDescent="0.25">
      <c r="A612" t="s">
        <v>986</v>
      </c>
      <c r="B612" s="7">
        <v>6036</v>
      </c>
      <c r="C612" s="7">
        <v>5935.28</v>
      </c>
      <c r="D612" s="7">
        <v>6043.8</v>
      </c>
      <c r="E612" s="7">
        <v>5901.38</v>
      </c>
      <c r="F612" t="s">
        <v>987</v>
      </c>
      <c r="G612" s="8">
        <v>2.0400000000000001E-2</v>
      </c>
    </row>
    <row r="613" spans="1:7" x14ac:dyDescent="0.25">
      <c r="A613" t="s">
        <v>988</v>
      </c>
      <c r="B613" s="7">
        <v>5915.41</v>
      </c>
      <c r="C613" s="7">
        <v>5979.99</v>
      </c>
      <c r="D613" s="7">
        <v>5997.31</v>
      </c>
      <c r="E613" s="7">
        <v>5874.68</v>
      </c>
      <c r="F613" t="s">
        <v>989</v>
      </c>
      <c r="G613" s="8">
        <v>-1.41E-2</v>
      </c>
    </row>
    <row r="614" spans="1:7" x14ac:dyDescent="0.25">
      <c r="A614" t="s">
        <v>990</v>
      </c>
      <c r="B614" s="7">
        <v>6000.24</v>
      </c>
      <c r="C614" s="7">
        <v>6015.53</v>
      </c>
      <c r="D614" s="7">
        <v>6025.73</v>
      </c>
      <c r="E614" s="7">
        <v>5922.94</v>
      </c>
      <c r="F614" t="s">
        <v>991</v>
      </c>
      <c r="G614" s="8">
        <v>-7.3000000000000001E-3</v>
      </c>
    </row>
    <row r="615" spans="1:7" x14ac:dyDescent="0.25">
      <c r="A615" s="9">
        <v>44902</v>
      </c>
      <c r="B615" s="7">
        <v>6044.2</v>
      </c>
      <c r="C615" s="7">
        <v>5960.09</v>
      </c>
      <c r="D615" s="7">
        <v>6053.33</v>
      </c>
      <c r="E615" s="7">
        <v>5930.98</v>
      </c>
      <c r="F615" t="s">
        <v>992</v>
      </c>
      <c r="G615" s="8">
        <v>8.0000000000000002E-3</v>
      </c>
    </row>
    <row r="616" spans="1:7" x14ac:dyDescent="0.25">
      <c r="A616" s="9">
        <v>44872</v>
      </c>
      <c r="B616" s="7">
        <v>5996.3</v>
      </c>
      <c r="C616" s="7">
        <v>5923.83</v>
      </c>
      <c r="D616" s="7">
        <v>6004.52</v>
      </c>
      <c r="E616" s="7">
        <v>5909.73</v>
      </c>
      <c r="F616" t="s">
        <v>993</v>
      </c>
      <c r="G616" s="8">
        <v>-6.1000000000000004E-3</v>
      </c>
    </row>
    <row r="617" spans="1:7" x14ac:dyDescent="0.25">
      <c r="A617" s="9">
        <v>44780</v>
      </c>
      <c r="B617" s="7">
        <v>6033.13</v>
      </c>
      <c r="C617" s="7">
        <v>6007.64</v>
      </c>
      <c r="D617" s="7">
        <v>6053.17</v>
      </c>
      <c r="E617" s="7">
        <v>5952.89</v>
      </c>
      <c r="F617" t="s">
        <v>994</v>
      </c>
      <c r="G617" s="8">
        <v>4.4000000000000003E-3</v>
      </c>
    </row>
    <row r="618" spans="1:7" x14ac:dyDescent="0.25">
      <c r="A618" s="9">
        <v>44749</v>
      </c>
      <c r="B618" s="7">
        <v>6006.7</v>
      </c>
      <c r="C618" s="7">
        <v>5985.09</v>
      </c>
      <c r="D618" s="7">
        <v>6024.31</v>
      </c>
      <c r="E618" s="7">
        <v>5967.98</v>
      </c>
      <c r="F618" t="s">
        <v>717</v>
      </c>
      <c r="G618" s="8">
        <v>1.6E-2</v>
      </c>
    </row>
    <row r="619" spans="1:7" x14ac:dyDescent="0.25">
      <c r="A619" s="9">
        <v>44719</v>
      </c>
      <c r="B619" s="7">
        <v>5912.38</v>
      </c>
      <c r="C619" s="7">
        <v>5872.27</v>
      </c>
      <c r="D619" s="7">
        <v>5927.5</v>
      </c>
      <c r="E619" s="7">
        <v>5846.1</v>
      </c>
      <c r="F619" t="s">
        <v>995</v>
      </c>
      <c r="G619" s="8">
        <v>2.0299999999999999E-2</v>
      </c>
    </row>
    <row r="620" spans="1:7" x14ac:dyDescent="0.25">
      <c r="A620" s="9">
        <v>44688</v>
      </c>
      <c r="B620" s="7">
        <v>5794.96</v>
      </c>
      <c r="C620" s="7">
        <v>5979.2</v>
      </c>
      <c r="D620" s="7">
        <v>5981.51</v>
      </c>
      <c r="E620" s="7">
        <v>5786.5</v>
      </c>
      <c r="F620" t="s">
        <v>996</v>
      </c>
      <c r="G620" s="8">
        <v>-2.6800000000000001E-2</v>
      </c>
    </row>
    <row r="621" spans="1:7" x14ac:dyDescent="0.25">
      <c r="A621" s="9">
        <v>44658</v>
      </c>
      <c r="B621" s="7">
        <v>5954.65</v>
      </c>
      <c r="C621" s="7">
        <v>5983.98</v>
      </c>
      <c r="D621" s="7">
        <v>6002.07</v>
      </c>
      <c r="E621" s="7">
        <v>5943.91</v>
      </c>
      <c r="F621" t="s">
        <v>997</v>
      </c>
      <c r="G621" s="8">
        <v>4.0000000000000001E-3</v>
      </c>
    </row>
    <row r="622" spans="1:7" x14ac:dyDescent="0.25">
      <c r="A622" s="9">
        <v>44568</v>
      </c>
      <c r="B622" s="7">
        <v>5931.06</v>
      </c>
      <c r="C622" s="7">
        <v>5875.6</v>
      </c>
      <c r="D622" s="7">
        <v>5975.83</v>
      </c>
      <c r="E622" s="7">
        <v>5857.34</v>
      </c>
      <c r="F622" t="s">
        <v>998</v>
      </c>
      <c r="G622" s="8">
        <v>1.4E-3</v>
      </c>
    </row>
    <row r="623" spans="1:7" x14ac:dyDescent="0.25">
      <c r="A623" t="s">
        <v>999</v>
      </c>
      <c r="B623" s="7">
        <v>5922.86</v>
      </c>
      <c r="C623" s="7">
        <v>5926.74</v>
      </c>
      <c r="D623" s="7">
        <v>5931.55</v>
      </c>
      <c r="E623" s="7">
        <v>5852.3</v>
      </c>
      <c r="F623" t="s">
        <v>1000</v>
      </c>
      <c r="G623" s="8">
        <v>-1.7999999999999999E-2</v>
      </c>
    </row>
    <row r="624" spans="1:7" x14ac:dyDescent="0.25">
      <c r="A624" t="s">
        <v>1001</v>
      </c>
      <c r="B624" s="7">
        <v>6031.48</v>
      </c>
      <c r="C624" s="7">
        <v>6021.69</v>
      </c>
      <c r="D624" s="7">
        <v>6071.91</v>
      </c>
      <c r="E624" s="7">
        <v>5995.75</v>
      </c>
      <c r="F624" t="s">
        <v>1002</v>
      </c>
      <c r="G624" s="8">
        <v>-8.9999999999999993E-3</v>
      </c>
    </row>
    <row r="625" spans="1:7" x14ac:dyDescent="0.25">
      <c r="A625" t="s">
        <v>1003</v>
      </c>
      <c r="B625" s="7">
        <v>6086.02</v>
      </c>
      <c r="C625" s="7">
        <v>6099.15</v>
      </c>
      <c r="D625" s="7">
        <v>6141.94</v>
      </c>
      <c r="E625" s="7">
        <v>6077.95</v>
      </c>
      <c r="F625" t="s">
        <v>1004</v>
      </c>
      <c r="G625" s="8">
        <v>6.4000000000000003E-3</v>
      </c>
    </row>
    <row r="626" spans="1:7" x14ac:dyDescent="0.25">
      <c r="A626" t="s">
        <v>1005</v>
      </c>
      <c r="B626" s="7">
        <v>6047.31</v>
      </c>
      <c r="C626" s="7">
        <v>6105.2</v>
      </c>
      <c r="D626" s="7">
        <v>6156.6</v>
      </c>
      <c r="E626" s="7">
        <v>6030.61</v>
      </c>
      <c r="F626" t="s">
        <v>1006</v>
      </c>
      <c r="G626" s="8">
        <v>-4.3E-3</v>
      </c>
    </row>
    <row r="627" spans="1:7" x14ac:dyDescent="0.25">
      <c r="A627" t="s">
        <v>1007</v>
      </c>
      <c r="B627" s="7">
        <v>6073.35</v>
      </c>
      <c r="C627" s="7">
        <v>5918.26</v>
      </c>
      <c r="D627" s="7">
        <v>6085.99</v>
      </c>
      <c r="E627" s="7">
        <v>5914.67</v>
      </c>
      <c r="F627" t="s">
        <v>1008</v>
      </c>
      <c r="G627" s="8">
        <v>3.2300000000000002E-2</v>
      </c>
    </row>
    <row r="628" spans="1:7" x14ac:dyDescent="0.25">
      <c r="A628" t="s">
        <v>1009</v>
      </c>
      <c r="B628" s="7">
        <v>5883.33</v>
      </c>
      <c r="C628" s="7">
        <v>5880.3</v>
      </c>
      <c r="D628" s="7">
        <v>5957.13</v>
      </c>
      <c r="E628" s="7">
        <v>5830.87</v>
      </c>
      <c r="F628" t="s">
        <v>1010</v>
      </c>
      <c r="G628" s="8">
        <v>-5.5999999999999999E-3</v>
      </c>
    </row>
    <row r="629" spans="1:7" x14ac:dyDescent="0.25">
      <c r="A629" t="s">
        <v>1011</v>
      </c>
      <c r="B629" s="7">
        <v>5916.63</v>
      </c>
      <c r="C629" s="7">
        <v>5879.09</v>
      </c>
      <c r="D629" s="7">
        <v>5938.46</v>
      </c>
      <c r="E629" s="7">
        <v>5834.46</v>
      </c>
      <c r="F629" t="s">
        <v>1012</v>
      </c>
      <c r="G629" s="8">
        <v>-8.0999999999999996E-3</v>
      </c>
    </row>
    <row r="630" spans="1:7" x14ac:dyDescent="0.25">
      <c r="A630" t="s">
        <v>1013</v>
      </c>
      <c r="B630" s="7">
        <v>5964.66</v>
      </c>
      <c r="C630" s="7">
        <v>5943.52</v>
      </c>
      <c r="D630" s="7">
        <v>6032.24</v>
      </c>
      <c r="E630" s="7">
        <v>5943.08</v>
      </c>
      <c r="F630" t="s">
        <v>1014</v>
      </c>
      <c r="G630" s="8">
        <v>7.4999999999999997E-3</v>
      </c>
    </row>
    <row r="631" spans="1:7" x14ac:dyDescent="0.25">
      <c r="A631" t="s">
        <v>1015</v>
      </c>
      <c r="B631" s="7">
        <v>5920.09</v>
      </c>
      <c r="C631" s="7">
        <v>5901.58</v>
      </c>
      <c r="D631" s="7">
        <v>5920.09</v>
      </c>
      <c r="E631" s="7">
        <v>5855.93</v>
      </c>
      <c r="F631" t="s">
        <v>1016</v>
      </c>
      <c r="G631" s="8">
        <v>6.4000000000000003E-3</v>
      </c>
    </row>
    <row r="632" spans="1:7" x14ac:dyDescent="0.25">
      <c r="A632" t="s">
        <v>1017</v>
      </c>
      <c r="B632" s="7">
        <v>5882.65</v>
      </c>
      <c r="C632" s="7">
        <v>5906.86</v>
      </c>
      <c r="D632" s="7">
        <v>5974.06</v>
      </c>
      <c r="E632" s="7">
        <v>5870.64</v>
      </c>
      <c r="F632" t="s">
        <v>1018</v>
      </c>
      <c r="G632" s="8">
        <v>-5.9999999999999995E-4</v>
      </c>
    </row>
    <row r="633" spans="1:7" x14ac:dyDescent="0.25">
      <c r="A633" t="s">
        <v>1019</v>
      </c>
      <c r="B633" s="7">
        <v>5886.24</v>
      </c>
      <c r="C633" s="7">
        <v>6003.66</v>
      </c>
      <c r="D633" s="7">
        <v>6018.1</v>
      </c>
      <c r="E633" s="7">
        <v>5872.2</v>
      </c>
      <c r="F633" t="s">
        <v>1020</v>
      </c>
      <c r="G633" s="8">
        <v>-2.3900000000000001E-2</v>
      </c>
    </row>
    <row r="634" spans="1:7" x14ac:dyDescent="0.25">
      <c r="A634" t="s">
        <v>1021</v>
      </c>
      <c r="B634" s="7">
        <v>6030.13</v>
      </c>
      <c r="C634" s="7">
        <v>6022.84</v>
      </c>
      <c r="D634" s="7">
        <v>6062.62</v>
      </c>
      <c r="E634" s="7">
        <v>5972.31</v>
      </c>
      <c r="F634" t="s">
        <v>1022</v>
      </c>
      <c r="G634" s="8">
        <v>1.35E-2</v>
      </c>
    </row>
    <row r="635" spans="1:7" x14ac:dyDescent="0.25">
      <c r="A635" t="s">
        <v>1023</v>
      </c>
      <c r="B635" s="7">
        <v>5949.84</v>
      </c>
      <c r="C635" s="7">
        <v>6063.8</v>
      </c>
      <c r="D635" s="7">
        <v>6075.37</v>
      </c>
      <c r="E635" s="7">
        <v>5934.12</v>
      </c>
      <c r="F635" t="s">
        <v>1024</v>
      </c>
      <c r="G635" s="8">
        <v>-1.2E-2</v>
      </c>
    </row>
    <row r="636" spans="1:7" x14ac:dyDescent="0.25">
      <c r="A636" t="s">
        <v>1025</v>
      </c>
      <c r="B636" s="7">
        <v>6022.32</v>
      </c>
      <c r="C636" s="7">
        <v>6088.05</v>
      </c>
      <c r="D636" s="7">
        <v>6122.26</v>
      </c>
      <c r="E636" s="7">
        <v>6006.28</v>
      </c>
      <c r="F636" t="s">
        <v>1026</v>
      </c>
      <c r="G636" s="8">
        <v>-2.6700000000000002E-2</v>
      </c>
    </row>
    <row r="637" spans="1:7" x14ac:dyDescent="0.25">
      <c r="A637" s="9">
        <v>44840</v>
      </c>
      <c r="B637" s="7">
        <v>6187.23</v>
      </c>
      <c r="C637" s="7">
        <v>6316.41</v>
      </c>
      <c r="D637" s="7">
        <v>6325.89</v>
      </c>
      <c r="E637" s="7">
        <v>6177.31</v>
      </c>
      <c r="F637" t="s">
        <v>823</v>
      </c>
      <c r="G637" s="8">
        <v>-2.69E-2</v>
      </c>
    </row>
    <row r="638" spans="1:7" x14ac:dyDescent="0.25">
      <c r="A638" s="9">
        <v>44810</v>
      </c>
      <c r="B638" s="7">
        <v>6358.46</v>
      </c>
      <c r="C638" s="7">
        <v>6412.58</v>
      </c>
      <c r="D638" s="7">
        <v>6456.91</v>
      </c>
      <c r="E638" s="7">
        <v>6342.99</v>
      </c>
      <c r="F638" t="s">
        <v>1027</v>
      </c>
      <c r="G638" s="8">
        <v>-1.4E-2</v>
      </c>
    </row>
    <row r="639" spans="1:7" x14ac:dyDescent="0.25">
      <c r="A639" s="9">
        <v>44779</v>
      </c>
      <c r="B639" s="7">
        <v>6448.63</v>
      </c>
      <c r="C639" s="7">
        <v>6517.55</v>
      </c>
      <c r="D639" s="7">
        <v>6517.55</v>
      </c>
      <c r="E639" s="7">
        <v>6413.87</v>
      </c>
      <c r="F639" t="s">
        <v>1028</v>
      </c>
      <c r="G639" s="8">
        <v>-8.0000000000000002E-3</v>
      </c>
    </row>
    <row r="640" spans="1:7" x14ac:dyDescent="0.25">
      <c r="A640" s="9">
        <v>44748</v>
      </c>
      <c r="B640" s="7">
        <v>6500.35</v>
      </c>
      <c r="C640" s="7">
        <v>6523.16</v>
      </c>
      <c r="D640" s="7">
        <v>6523.6</v>
      </c>
      <c r="E640" s="7">
        <v>6459.92</v>
      </c>
      <c r="F640" t="s">
        <v>571</v>
      </c>
      <c r="G640" s="8">
        <v>-7.4000000000000003E-3</v>
      </c>
    </row>
    <row r="641" spans="1:7" x14ac:dyDescent="0.25">
      <c r="A641" s="9">
        <v>44718</v>
      </c>
      <c r="B641" s="7">
        <v>6548.78</v>
      </c>
      <c r="C641" s="7">
        <v>6533.82</v>
      </c>
      <c r="D641" s="7">
        <v>6593.15</v>
      </c>
      <c r="E641" s="7">
        <v>6533.82</v>
      </c>
      <c r="F641" t="s">
        <v>1029</v>
      </c>
      <c r="G641" s="8">
        <v>9.7999999999999997E-3</v>
      </c>
    </row>
    <row r="642" spans="1:7" x14ac:dyDescent="0.25">
      <c r="A642" s="9">
        <v>44626</v>
      </c>
      <c r="B642" s="7">
        <v>6485.3</v>
      </c>
      <c r="C642" s="7">
        <v>6545</v>
      </c>
      <c r="D642" s="7">
        <v>6547.82</v>
      </c>
      <c r="E642" s="7">
        <v>6473.74</v>
      </c>
      <c r="F642" t="s">
        <v>168</v>
      </c>
      <c r="G642" s="8">
        <v>-2.3E-3</v>
      </c>
    </row>
    <row r="643" spans="1:7" x14ac:dyDescent="0.25">
      <c r="A643" s="9">
        <v>44598</v>
      </c>
      <c r="B643" s="7">
        <v>6500.44</v>
      </c>
      <c r="C643" s="7">
        <v>6447.37</v>
      </c>
      <c r="D643" s="7">
        <v>6506.6</v>
      </c>
      <c r="E643" s="7">
        <v>6447.3</v>
      </c>
      <c r="F643" t="s">
        <v>1030</v>
      </c>
      <c r="G643" s="8">
        <v>1.2699999999999999E-2</v>
      </c>
    </row>
    <row r="644" spans="1:7" x14ac:dyDescent="0.25">
      <c r="A644" s="9">
        <v>44567</v>
      </c>
      <c r="B644" s="7">
        <v>6418.89</v>
      </c>
      <c r="C644" s="7">
        <v>6509.19</v>
      </c>
      <c r="D644" s="7">
        <v>6510.26</v>
      </c>
      <c r="E644" s="7">
        <v>6414.22</v>
      </c>
      <c r="F644" t="s">
        <v>1031</v>
      </c>
      <c r="G644" s="8">
        <v>-7.7000000000000002E-3</v>
      </c>
    </row>
    <row r="645" spans="1:7" x14ac:dyDescent="0.25">
      <c r="A645" t="s">
        <v>1032</v>
      </c>
      <c r="B645" s="7">
        <v>6468.8</v>
      </c>
      <c r="C645" s="7">
        <v>6539.86</v>
      </c>
      <c r="D645" s="7">
        <v>6543.42</v>
      </c>
      <c r="E645" s="7">
        <v>6457.53</v>
      </c>
      <c r="F645" t="s">
        <v>1033</v>
      </c>
      <c r="G645" s="8">
        <v>-1.43E-2</v>
      </c>
    </row>
    <row r="646" spans="1:7" x14ac:dyDescent="0.25">
      <c r="A646" t="s">
        <v>1034</v>
      </c>
      <c r="B646" s="7">
        <v>6562.39</v>
      </c>
      <c r="C646" s="7">
        <v>6547.86</v>
      </c>
      <c r="D646" s="7">
        <v>6582.05</v>
      </c>
      <c r="E646" s="7">
        <v>6536.77</v>
      </c>
      <c r="F646" t="s">
        <v>1035</v>
      </c>
      <c r="G646" s="8">
        <v>7.1999999999999998E-3</v>
      </c>
    </row>
    <row r="647" spans="1:7" x14ac:dyDescent="0.25">
      <c r="A647" t="s">
        <v>1036</v>
      </c>
      <c r="B647" s="7">
        <v>6515.75</v>
      </c>
      <c r="C647" s="7">
        <v>6445.25</v>
      </c>
      <c r="D647" s="7">
        <v>6519.73</v>
      </c>
      <c r="E647" s="7">
        <v>6424.85</v>
      </c>
      <c r="F647" t="s">
        <v>1037</v>
      </c>
      <c r="G647" s="8">
        <v>1.6400000000000001E-2</v>
      </c>
    </row>
    <row r="648" spans="1:7" x14ac:dyDescent="0.25">
      <c r="A648" t="s">
        <v>1038</v>
      </c>
      <c r="B648" s="7">
        <v>6410.58</v>
      </c>
      <c r="C648" s="7">
        <v>6301.49</v>
      </c>
      <c r="D648" s="7">
        <v>6424.88</v>
      </c>
      <c r="E648" s="7">
        <v>6298.45</v>
      </c>
      <c r="F648" t="s">
        <v>1039</v>
      </c>
      <c r="G648" s="8">
        <v>1.78E-2</v>
      </c>
    </row>
    <row r="649" spans="1:7" x14ac:dyDescent="0.25">
      <c r="A649" t="s">
        <v>1040</v>
      </c>
      <c r="B649" s="7">
        <v>6298.64</v>
      </c>
      <c r="C649" s="7">
        <v>6296.28</v>
      </c>
      <c r="D649" s="7">
        <v>6319.29</v>
      </c>
      <c r="E649" s="7">
        <v>6229.84</v>
      </c>
      <c r="F649" t="s">
        <v>1041</v>
      </c>
      <c r="G649" s="8">
        <v>7.3000000000000001E-3</v>
      </c>
    </row>
    <row r="650" spans="1:7" x14ac:dyDescent="0.25">
      <c r="A650" t="s">
        <v>1042</v>
      </c>
      <c r="B650" s="7">
        <v>6253.14</v>
      </c>
      <c r="C650" s="7">
        <v>6282.32</v>
      </c>
      <c r="D650" s="7">
        <v>6322.74</v>
      </c>
      <c r="E650" s="7">
        <v>6243.84</v>
      </c>
      <c r="F650" t="s">
        <v>1043</v>
      </c>
      <c r="G650" s="8">
        <v>-1.66E-2</v>
      </c>
    </row>
    <row r="651" spans="1:7" x14ac:dyDescent="0.25">
      <c r="A651" t="s">
        <v>1044</v>
      </c>
      <c r="B651" s="7">
        <v>6358.74</v>
      </c>
      <c r="C651" s="7">
        <v>6350.88</v>
      </c>
      <c r="D651" s="7">
        <v>6358.74</v>
      </c>
      <c r="E651" s="7">
        <v>6263.96</v>
      </c>
      <c r="F651" t="s">
        <v>1045</v>
      </c>
      <c r="G651" s="8">
        <v>1.17E-2</v>
      </c>
    </row>
    <row r="652" spans="1:7" x14ac:dyDescent="0.25">
      <c r="A652" t="s">
        <v>1046</v>
      </c>
      <c r="B652" s="7">
        <v>6285.24</v>
      </c>
      <c r="C652" s="7">
        <v>6305.46</v>
      </c>
      <c r="D652" s="7">
        <v>6377.58</v>
      </c>
      <c r="E652" s="7">
        <v>6264.84</v>
      </c>
      <c r="F652" t="s">
        <v>1047</v>
      </c>
      <c r="G652" s="8">
        <v>2E-3</v>
      </c>
    </row>
    <row r="653" spans="1:7" x14ac:dyDescent="0.25">
      <c r="A653" t="s">
        <v>1048</v>
      </c>
      <c r="B653" s="7">
        <v>6272.71</v>
      </c>
      <c r="C653" s="7">
        <v>6279.69</v>
      </c>
      <c r="D653" s="7">
        <v>6288.99</v>
      </c>
      <c r="E653" s="7">
        <v>6196.19</v>
      </c>
      <c r="F653" t="s">
        <v>1049</v>
      </c>
      <c r="G653" s="8">
        <v>-1.26E-2</v>
      </c>
    </row>
    <row r="654" spans="1:7" x14ac:dyDescent="0.25">
      <c r="A654" t="s">
        <v>1050</v>
      </c>
      <c r="B654" s="7">
        <v>6352.94</v>
      </c>
      <c r="C654" s="7">
        <v>6440.3</v>
      </c>
      <c r="D654" s="7">
        <v>6455.8</v>
      </c>
      <c r="E654" s="7">
        <v>6342.67</v>
      </c>
      <c r="F654" t="s">
        <v>1051</v>
      </c>
      <c r="G654" s="8">
        <v>-1.2E-2</v>
      </c>
    </row>
    <row r="655" spans="1:7" x14ac:dyDescent="0.25">
      <c r="A655" t="s">
        <v>1052</v>
      </c>
      <c r="B655" s="7">
        <v>6430.19</v>
      </c>
      <c r="C655" s="7">
        <v>6379.34</v>
      </c>
      <c r="D655" s="7">
        <v>6448.33</v>
      </c>
      <c r="E655" s="7">
        <v>6373.73</v>
      </c>
      <c r="F655" t="s">
        <v>1053</v>
      </c>
      <c r="G655" s="8">
        <v>1.2999999999999999E-2</v>
      </c>
    </row>
    <row r="656" spans="1:7" x14ac:dyDescent="0.25">
      <c r="A656" t="s">
        <v>1054</v>
      </c>
      <c r="B656" s="7">
        <v>6347.77</v>
      </c>
      <c r="C656" s="7">
        <v>6315.68</v>
      </c>
      <c r="D656" s="7">
        <v>6369.05</v>
      </c>
      <c r="E656" s="7">
        <v>6286.02</v>
      </c>
      <c r="F656" t="s">
        <v>1055</v>
      </c>
      <c r="G656" s="8">
        <v>-2.3E-3</v>
      </c>
    </row>
    <row r="657" spans="1:7" x14ac:dyDescent="0.25">
      <c r="A657" t="s">
        <v>1056</v>
      </c>
      <c r="B657" s="7">
        <v>6362.68</v>
      </c>
      <c r="C657" s="7">
        <v>6250.16</v>
      </c>
      <c r="D657" s="7">
        <v>6363.24</v>
      </c>
      <c r="E657" s="7">
        <v>6238.79</v>
      </c>
      <c r="F657" t="s">
        <v>1057</v>
      </c>
      <c r="G657" s="8">
        <v>2.52E-2</v>
      </c>
    </row>
    <row r="658" spans="1:7" x14ac:dyDescent="0.25">
      <c r="A658" s="9">
        <v>44900</v>
      </c>
      <c r="B658" s="7">
        <v>6206.26</v>
      </c>
      <c r="C658" s="7">
        <v>6130.69</v>
      </c>
      <c r="D658" s="7">
        <v>6238.25</v>
      </c>
      <c r="E658" s="7">
        <v>6098.22</v>
      </c>
      <c r="F658" t="s">
        <v>1058</v>
      </c>
      <c r="G658" s="8">
        <v>-1.01E-2</v>
      </c>
    </row>
    <row r="659" spans="1:7" x14ac:dyDescent="0.25">
      <c r="A659" s="9">
        <v>44870</v>
      </c>
      <c r="B659" s="7">
        <v>6269.73</v>
      </c>
      <c r="C659" s="7">
        <v>6173.1</v>
      </c>
      <c r="D659" s="7">
        <v>6269.73</v>
      </c>
      <c r="E659" s="7">
        <v>6137.24</v>
      </c>
      <c r="F659" t="s">
        <v>1059</v>
      </c>
      <c r="G659" s="8">
        <v>2.5000000000000001E-2</v>
      </c>
    </row>
    <row r="660" spans="1:7" x14ac:dyDescent="0.25">
      <c r="A660" s="9">
        <v>44839</v>
      </c>
      <c r="B660" s="7">
        <v>6116.91</v>
      </c>
      <c r="C660" s="7">
        <v>6151.52</v>
      </c>
      <c r="D660" s="7">
        <v>6206.56</v>
      </c>
      <c r="E660" s="7">
        <v>6116.91</v>
      </c>
      <c r="F660" t="s">
        <v>1060</v>
      </c>
      <c r="G660" s="8">
        <v>5.1000000000000004E-3</v>
      </c>
    </row>
    <row r="661" spans="1:7" x14ac:dyDescent="0.25">
      <c r="A661" s="9">
        <v>44809</v>
      </c>
      <c r="B661" s="7">
        <v>6086.02</v>
      </c>
      <c r="C661" s="7">
        <v>6207.15</v>
      </c>
      <c r="D661" s="7">
        <v>6260.85</v>
      </c>
      <c r="E661" s="7">
        <v>6086.02</v>
      </c>
      <c r="F661" t="s">
        <v>1061</v>
      </c>
      <c r="G661" s="8">
        <v>-2.75E-2</v>
      </c>
    </row>
    <row r="662" spans="1:7" x14ac:dyDescent="0.25">
      <c r="A662" s="9">
        <v>44717</v>
      </c>
      <c r="B662" s="7">
        <v>6258.36</v>
      </c>
      <c r="C662" s="7">
        <v>6318.66</v>
      </c>
      <c r="D662" s="7">
        <v>6322.43</v>
      </c>
      <c r="E662" s="7">
        <v>6213.64</v>
      </c>
      <c r="F662" t="s">
        <v>1062</v>
      </c>
      <c r="G662" s="8">
        <v>-1.7299999999999999E-2</v>
      </c>
    </row>
    <row r="663" spans="1:7" x14ac:dyDescent="0.25">
      <c r="A663" s="9">
        <v>44686</v>
      </c>
      <c r="B663" s="7">
        <v>6368.4</v>
      </c>
      <c r="C663" s="7">
        <v>6549.49</v>
      </c>
      <c r="D663" s="7">
        <v>6558.91</v>
      </c>
      <c r="E663" s="7">
        <v>6350.66</v>
      </c>
      <c r="F663" t="s">
        <v>1063</v>
      </c>
      <c r="G663" s="8">
        <v>-4.3E-3</v>
      </c>
    </row>
    <row r="664" spans="1:7" x14ac:dyDescent="0.25">
      <c r="A664" s="9">
        <v>44656</v>
      </c>
      <c r="B664" s="7">
        <v>6395.68</v>
      </c>
      <c r="C664" s="7">
        <v>6482.26</v>
      </c>
      <c r="D664" s="7">
        <v>6494.99</v>
      </c>
      <c r="E664" s="7">
        <v>6395.68</v>
      </c>
      <c r="F664" t="s">
        <v>1064</v>
      </c>
      <c r="G664" s="8">
        <v>-1.24E-2</v>
      </c>
    </row>
    <row r="665" spans="1:7" x14ac:dyDescent="0.25">
      <c r="A665" s="9">
        <v>44625</v>
      </c>
      <c r="B665" s="7">
        <v>6476.18</v>
      </c>
      <c r="C665" s="7">
        <v>6463.73</v>
      </c>
      <c r="D665" s="7">
        <v>6507.13</v>
      </c>
      <c r="E665" s="7">
        <v>6423.03</v>
      </c>
      <c r="F665" t="s">
        <v>1065</v>
      </c>
      <c r="G665" s="8">
        <v>7.9000000000000008E-3</v>
      </c>
    </row>
    <row r="666" spans="1:7" x14ac:dyDescent="0.25">
      <c r="A666" s="9">
        <v>44597</v>
      </c>
      <c r="B666" s="7">
        <v>6425.61</v>
      </c>
      <c r="C666" s="7">
        <v>6469.31</v>
      </c>
      <c r="D666" s="7">
        <v>6474.81</v>
      </c>
      <c r="E666" s="7">
        <v>6308.47</v>
      </c>
      <c r="F666" t="s">
        <v>1066</v>
      </c>
      <c r="G666" s="8">
        <v>-1.66E-2</v>
      </c>
    </row>
    <row r="667" spans="1:7" x14ac:dyDescent="0.25">
      <c r="A667" t="s">
        <v>1067</v>
      </c>
      <c r="B667" s="7">
        <v>6533.77</v>
      </c>
      <c r="C667" s="7">
        <v>6557.66</v>
      </c>
      <c r="D667" s="7">
        <v>6601.15</v>
      </c>
      <c r="E667" s="7">
        <v>6514.1</v>
      </c>
      <c r="F667" t="s">
        <v>1068</v>
      </c>
      <c r="G667" s="8">
        <v>3.8999999999999998E-3</v>
      </c>
    </row>
    <row r="668" spans="1:7" x14ac:dyDescent="0.25">
      <c r="A668" t="s">
        <v>1069</v>
      </c>
      <c r="B668" s="7">
        <v>6508.14</v>
      </c>
      <c r="C668" s="7">
        <v>6520.53</v>
      </c>
      <c r="D668" s="7">
        <v>6575.95</v>
      </c>
      <c r="E668" s="7">
        <v>6435.75</v>
      </c>
      <c r="F668" t="s">
        <v>1070</v>
      </c>
      <c r="G668" s="8">
        <v>9.7999999999999997E-3</v>
      </c>
    </row>
    <row r="669" spans="1:7" x14ac:dyDescent="0.25">
      <c r="A669" t="s">
        <v>1071</v>
      </c>
      <c r="B669" s="7">
        <v>6445.26</v>
      </c>
      <c r="C669" s="7">
        <v>6427.4</v>
      </c>
      <c r="D669" s="7">
        <v>6474.96</v>
      </c>
      <c r="E669" s="7">
        <v>6338.61</v>
      </c>
      <c r="F669" t="s">
        <v>1072</v>
      </c>
      <c r="G669" s="8">
        <v>4.7999999999999996E-3</v>
      </c>
    </row>
    <row r="670" spans="1:7" x14ac:dyDescent="0.25">
      <c r="A670" t="s">
        <v>1073</v>
      </c>
      <c r="B670" s="7">
        <v>6414.57</v>
      </c>
      <c r="C670" s="7">
        <v>6520.01</v>
      </c>
      <c r="D670" s="7">
        <v>6535.92</v>
      </c>
      <c r="E670" s="7">
        <v>6412.49</v>
      </c>
      <c r="F670" t="s">
        <v>1074</v>
      </c>
      <c r="G670" s="8">
        <v>-5.4000000000000003E-3</v>
      </c>
    </row>
    <row r="671" spans="1:7" x14ac:dyDescent="0.25">
      <c r="A671" t="s">
        <v>1075</v>
      </c>
      <c r="B671" s="7">
        <v>6449.38</v>
      </c>
      <c r="C671" s="7">
        <v>6450.9</v>
      </c>
      <c r="D671" s="7">
        <v>6512.26</v>
      </c>
      <c r="E671" s="7">
        <v>6408.71</v>
      </c>
      <c r="F671" t="s">
        <v>1076</v>
      </c>
      <c r="G671" s="8">
        <v>-2.01E-2</v>
      </c>
    </row>
    <row r="672" spans="1:7" x14ac:dyDescent="0.25">
      <c r="A672" t="s">
        <v>1077</v>
      </c>
      <c r="B672" s="7">
        <v>6581.42</v>
      </c>
      <c r="C672" s="7">
        <v>6618.69</v>
      </c>
      <c r="D672" s="7">
        <v>6654.64</v>
      </c>
      <c r="E672" s="7">
        <v>6572.87</v>
      </c>
      <c r="F672" t="s">
        <v>1078</v>
      </c>
      <c r="G672" s="8">
        <v>-1.9900000000000001E-2</v>
      </c>
    </row>
    <row r="673" spans="1:7" x14ac:dyDescent="0.25">
      <c r="A673" t="s">
        <v>1079</v>
      </c>
      <c r="B673" s="7">
        <v>6715.1</v>
      </c>
      <c r="C673" s="7">
        <v>6642.71</v>
      </c>
      <c r="D673" s="7">
        <v>6757.75</v>
      </c>
      <c r="E673" s="7">
        <v>6636.79</v>
      </c>
      <c r="F673" t="s">
        <v>1080</v>
      </c>
      <c r="G673" s="8">
        <v>1.3599999999999999E-2</v>
      </c>
    </row>
    <row r="674" spans="1:7" x14ac:dyDescent="0.25">
      <c r="A674" t="s">
        <v>1081</v>
      </c>
      <c r="B674" s="7">
        <v>6624.91</v>
      </c>
      <c r="C674" s="7">
        <v>6557.96</v>
      </c>
      <c r="D674" s="7">
        <v>6636.55</v>
      </c>
      <c r="E674" s="7">
        <v>6542.21</v>
      </c>
      <c r="F674" t="s">
        <v>674</v>
      </c>
      <c r="G674" s="8">
        <v>1.38E-2</v>
      </c>
    </row>
    <row r="675" spans="1:7" x14ac:dyDescent="0.25">
      <c r="A675" t="s">
        <v>1082</v>
      </c>
      <c r="B675" s="7">
        <v>6534.79</v>
      </c>
      <c r="C675" s="7">
        <v>6545.97</v>
      </c>
      <c r="D675" s="7">
        <v>6566.8</v>
      </c>
      <c r="E675" s="7">
        <v>6494.33</v>
      </c>
      <c r="F675" t="s">
        <v>1083</v>
      </c>
      <c r="G675" s="8">
        <v>-8.3000000000000001E-3</v>
      </c>
    </row>
    <row r="676" spans="1:7" x14ac:dyDescent="0.25">
      <c r="A676" t="s">
        <v>1084</v>
      </c>
      <c r="B676" s="7">
        <v>6589.35</v>
      </c>
      <c r="C676" s="7">
        <v>6557.66</v>
      </c>
      <c r="D676" s="7">
        <v>6607.55</v>
      </c>
      <c r="E676" s="7">
        <v>6541.9</v>
      </c>
      <c r="F676" t="s">
        <v>1085</v>
      </c>
      <c r="G676" s="8">
        <v>7.1999999999999998E-3</v>
      </c>
    </row>
    <row r="677" spans="1:7" x14ac:dyDescent="0.25">
      <c r="A677" t="s">
        <v>1086</v>
      </c>
      <c r="B677" s="7">
        <v>6542.14</v>
      </c>
      <c r="C677" s="7">
        <v>6519.16</v>
      </c>
      <c r="D677" s="7">
        <v>6563.96</v>
      </c>
      <c r="E677" s="7">
        <v>6478.45</v>
      </c>
      <c r="F677" t="s">
        <v>1087</v>
      </c>
      <c r="G677" s="8">
        <v>6.9999999999999999E-4</v>
      </c>
    </row>
    <row r="678" spans="1:7" x14ac:dyDescent="0.25">
      <c r="A678" s="9">
        <v>44899</v>
      </c>
      <c r="B678" s="7">
        <v>6537.41</v>
      </c>
      <c r="C678" s="7">
        <v>6454.25</v>
      </c>
      <c r="D678" s="7">
        <v>6570.75</v>
      </c>
      <c r="E678" s="7">
        <v>6424.97</v>
      </c>
      <c r="F678" t="s">
        <v>1088</v>
      </c>
      <c r="G678" s="8">
        <v>-2.8E-3</v>
      </c>
    </row>
    <row r="679" spans="1:7" x14ac:dyDescent="0.25">
      <c r="A679" s="9">
        <v>44869</v>
      </c>
      <c r="B679" s="7">
        <v>6555.81</v>
      </c>
      <c r="C679" s="7">
        <v>6558.53</v>
      </c>
      <c r="D679" s="7">
        <v>6614.96</v>
      </c>
      <c r="E679" s="7">
        <v>6502.14</v>
      </c>
      <c r="F679" t="s">
        <v>1089</v>
      </c>
      <c r="G679" s="8">
        <v>1.1999999999999999E-3</v>
      </c>
    </row>
    <row r="680" spans="1:7" x14ac:dyDescent="0.25">
      <c r="A680" s="9">
        <v>44777</v>
      </c>
      <c r="B680" s="7">
        <v>6548.22</v>
      </c>
      <c r="C680" s="7">
        <v>6540.2</v>
      </c>
      <c r="D680" s="7">
        <v>6581.56</v>
      </c>
      <c r="E680" s="7">
        <v>6494.63</v>
      </c>
      <c r="F680" t="s">
        <v>1090</v>
      </c>
      <c r="G680" s="8">
        <v>1.34E-2</v>
      </c>
    </row>
    <row r="681" spans="1:7" x14ac:dyDescent="0.25">
      <c r="A681" s="9">
        <v>44746</v>
      </c>
      <c r="B681" s="7">
        <v>6461.68</v>
      </c>
      <c r="C681" s="7">
        <v>6530.82</v>
      </c>
      <c r="D681" s="7">
        <v>6582.34</v>
      </c>
      <c r="E681" s="7">
        <v>6451.1</v>
      </c>
      <c r="F681" t="s">
        <v>1091</v>
      </c>
      <c r="G681" s="8">
        <v>-5.7000000000000002E-3</v>
      </c>
    </row>
    <row r="682" spans="1:7" x14ac:dyDescent="0.25">
      <c r="A682" s="9">
        <v>44716</v>
      </c>
      <c r="B682" s="7">
        <v>6498.83</v>
      </c>
      <c r="C682" s="7">
        <v>6634.83</v>
      </c>
      <c r="D682" s="7">
        <v>6643.75</v>
      </c>
      <c r="E682" s="7">
        <v>6442.44</v>
      </c>
      <c r="F682" t="s">
        <v>1092</v>
      </c>
      <c r="G682" s="8">
        <v>-2.2100000000000002E-2</v>
      </c>
    </row>
    <row r="683" spans="1:7" x14ac:dyDescent="0.25">
      <c r="A683" s="9">
        <v>44685</v>
      </c>
      <c r="B683" s="7">
        <v>6645.51</v>
      </c>
      <c r="C683" s="7">
        <v>6731.34</v>
      </c>
      <c r="D683" s="7">
        <v>6743.62</v>
      </c>
      <c r="E683" s="7">
        <v>6603.44</v>
      </c>
      <c r="F683" t="s">
        <v>1093</v>
      </c>
      <c r="G683" s="8">
        <v>-1.2800000000000001E-2</v>
      </c>
    </row>
    <row r="684" spans="1:7" x14ac:dyDescent="0.25">
      <c r="A684" s="9">
        <v>44655</v>
      </c>
      <c r="B684" s="7">
        <v>6731.37</v>
      </c>
      <c r="C684" s="7">
        <v>6709.6</v>
      </c>
      <c r="D684" s="7">
        <v>6745.22</v>
      </c>
      <c r="E684" s="7">
        <v>6641.61</v>
      </c>
      <c r="F684" t="s">
        <v>715</v>
      </c>
      <c r="G684" s="8">
        <v>7.0000000000000001E-3</v>
      </c>
    </row>
    <row r="685" spans="1:7" x14ac:dyDescent="0.25">
      <c r="A685" s="9">
        <v>44565</v>
      </c>
      <c r="B685" s="7">
        <v>6684.31</v>
      </c>
      <c r="C685" s="7">
        <v>6672.98</v>
      </c>
      <c r="D685" s="7">
        <v>6708.56</v>
      </c>
      <c r="E685" s="7">
        <v>6635.27</v>
      </c>
      <c r="F685" t="s">
        <v>1094</v>
      </c>
      <c r="G685" s="8">
        <v>3.7000000000000002E-3</v>
      </c>
    </row>
    <row r="686" spans="1:7" x14ac:dyDescent="0.25">
      <c r="A686" t="s">
        <v>1095</v>
      </c>
      <c r="B686" s="7">
        <v>6659.87</v>
      </c>
      <c r="C686" s="7">
        <v>6759.42</v>
      </c>
      <c r="D686" s="7">
        <v>6776.13</v>
      </c>
      <c r="E686" s="7">
        <v>6658.74</v>
      </c>
      <c r="F686" t="s">
        <v>1096</v>
      </c>
      <c r="G686" s="8">
        <v>-1.21E-2</v>
      </c>
    </row>
    <row r="687" spans="1:7" x14ac:dyDescent="0.25">
      <c r="A687" t="s">
        <v>1097</v>
      </c>
      <c r="B687" s="7">
        <v>6741.59</v>
      </c>
      <c r="C687" s="7">
        <v>6771.09</v>
      </c>
      <c r="D687" s="7">
        <v>6771.09</v>
      </c>
      <c r="E687" s="7">
        <v>6705.69</v>
      </c>
      <c r="F687" t="s">
        <v>1098</v>
      </c>
      <c r="G687" s="8">
        <v>-7.4000000000000003E-3</v>
      </c>
    </row>
    <row r="688" spans="1:7" x14ac:dyDescent="0.25">
      <c r="A688" t="s">
        <v>1099</v>
      </c>
      <c r="B688" s="7">
        <v>6792.16</v>
      </c>
      <c r="C688" s="7">
        <v>6675.15</v>
      </c>
      <c r="D688" s="7">
        <v>6829.4</v>
      </c>
      <c r="E688" s="7">
        <v>6658.78</v>
      </c>
      <c r="F688" t="s">
        <v>1100</v>
      </c>
      <c r="G688" s="8">
        <v>3.0800000000000001E-2</v>
      </c>
    </row>
    <row r="689" spans="1:7" x14ac:dyDescent="0.25">
      <c r="A689" t="s">
        <v>1101</v>
      </c>
      <c r="B689" s="7">
        <v>6589.11</v>
      </c>
      <c r="C689" s="7">
        <v>6578.72</v>
      </c>
      <c r="D689" s="7">
        <v>6683.7</v>
      </c>
      <c r="E689" s="7">
        <v>6572.01</v>
      </c>
      <c r="F689" t="s">
        <v>1102</v>
      </c>
      <c r="G689" s="8">
        <v>5.4000000000000003E-3</v>
      </c>
    </row>
    <row r="690" spans="1:7" x14ac:dyDescent="0.25">
      <c r="A690" t="s">
        <v>1103</v>
      </c>
      <c r="B690" s="7">
        <v>6553.68</v>
      </c>
      <c r="C690" s="7">
        <v>6569.45</v>
      </c>
      <c r="D690" s="7">
        <v>6615.9</v>
      </c>
      <c r="E690" s="7">
        <v>6538.8</v>
      </c>
      <c r="F690" t="s">
        <v>1104</v>
      </c>
      <c r="G690" s="8">
        <v>-2.9999999999999997E-4</v>
      </c>
    </row>
    <row r="691" spans="1:7" x14ac:dyDescent="0.25">
      <c r="A691" t="s">
        <v>1105</v>
      </c>
      <c r="B691" s="7">
        <v>6555.77</v>
      </c>
      <c r="C691" s="7">
        <v>6593.15</v>
      </c>
      <c r="D691" s="7">
        <v>6636.58</v>
      </c>
      <c r="E691" s="7">
        <v>6541.32</v>
      </c>
      <c r="F691" t="s">
        <v>1106</v>
      </c>
      <c r="G691" s="8">
        <v>-3.8999999999999998E-3</v>
      </c>
    </row>
    <row r="692" spans="1:7" x14ac:dyDescent="0.25">
      <c r="A692" t="s">
        <v>1107</v>
      </c>
      <c r="B692" s="7">
        <v>6581.43</v>
      </c>
      <c r="C692" s="7">
        <v>6674.68</v>
      </c>
      <c r="D692" s="7">
        <v>6684.7</v>
      </c>
      <c r="E692" s="7">
        <v>6559.31</v>
      </c>
      <c r="F692" t="s">
        <v>1108</v>
      </c>
      <c r="G692" s="8">
        <v>-1.17E-2</v>
      </c>
    </row>
    <row r="693" spans="1:7" x14ac:dyDescent="0.25">
      <c r="A693" t="s">
        <v>1109</v>
      </c>
      <c r="B693" s="7">
        <v>6659.41</v>
      </c>
      <c r="C693" s="7">
        <v>6586.65</v>
      </c>
      <c r="D693" s="7">
        <v>6666.84</v>
      </c>
      <c r="E693" s="7">
        <v>6578.91</v>
      </c>
      <c r="F693" t="s">
        <v>1110</v>
      </c>
      <c r="G693" s="8">
        <v>1.17E-2</v>
      </c>
    </row>
    <row r="694" spans="1:7" x14ac:dyDescent="0.25">
      <c r="A694" t="s">
        <v>1111</v>
      </c>
      <c r="B694" s="7">
        <v>6582.33</v>
      </c>
      <c r="C694" s="7">
        <v>6608.79</v>
      </c>
      <c r="D694" s="7">
        <v>6642.46</v>
      </c>
      <c r="E694" s="7">
        <v>6574.07</v>
      </c>
      <c r="F694" t="s">
        <v>1112</v>
      </c>
      <c r="G694" s="8">
        <v>-5.7000000000000002E-3</v>
      </c>
    </row>
    <row r="695" spans="1:7" x14ac:dyDescent="0.25">
      <c r="A695" t="s">
        <v>1113</v>
      </c>
      <c r="B695" s="7">
        <v>6620.24</v>
      </c>
      <c r="C695" s="7">
        <v>6613.95</v>
      </c>
      <c r="D695" s="7">
        <v>6620.24</v>
      </c>
      <c r="E695" s="7">
        <v>6499.59</v>
      </c>
      <c r="F695" t="s">
        <v>1114</v>
      </c>
      <c r="G695" s="8">
        <v>1.1999999999999999E-3</v>
      </c>
    </row>
    <row r="696" spans="1:7" x14ac:dyDescent="0.25">
      <c r="A696" t="s">
        <v>1115</v>
      </c>
      <c r="B696" s="7">
        <v>6612.52</v>
      </c>
      <c r="C696" s="7">
        <v>6617.23</v>
      </c>
      <c r="D696" s="7">
        <v>6635.31</v>
      </c>
      <c r="E696" s="7">
        <v>6530.79</v>
      </c>
      <c r="F696" t="s">
        <v>1116</v>
      </c>
      <c r="G696" s="8">
        <v>3.5999999999999999E-3</v>
      </c>
    </row>
    <row r="697" spans="1:7" x14ac:dyDescent="0.25">
      <c r="A697" t="s">
        <v>1117</v>
      </c>
      <c r="B697" s="7">
        <v>6588.64</v>
      </c>
      <c r="C697" s="7">
        <v>6484.33</v>
      </c>
      <c r="D697" s="7">
        <v>6680</v>
      </c>
      <c r="E697" s="7">
        <v>6481.7</v>
      </c>
      <c r="F697" t="s">
        <v>1118</v>
      </c>
      <c r="G697" s="8">
        <v>3.6799999999999999E-2</v>
      </c>
    </row>
    <row r="698" spans="1:7" x14ac:dyDescent="0.25">
      <c r="A698" t="s">
        <v>1119</v>
      </c>
      <c r="B698" s="7">
        <v>6355</v>
      </c>
      <c r="C698" s="7">
        <v>6294.72</v>
      </c>
      <c r="D698" s="7">
        <v>6383.75</v>
      </c>
      <c r="E698" s="7">
        <v>6206.05</v>
      </c>
      <c r="F698" t="s">
        <v>1120</v>
      </c>
      <c r="G698" s="8">
        <v>-2.3E-3</v>
      </c>
    </row>
    <row r="699" spans="1:7" x14ac:dyDescent="0.25">
      <c r="A699" t="s">
        <v>1121</v>
      </c>
      <c r="B699" s="7">
        <v>6369.94</v>
      </c>
      <c r="C699" s="7">
        <v>6298.96</v>
      </c>
      <c r="D699" s="7">
        <v>6421.08</v>
      </c>
      <c r="E699" s="7">
        <v>6271.82</v>
      </c>
      <c r="F699" t="s">
        <v>1122</v>
      </c>
      <c r="G699" s="8">
        <v>1.7500000000000002E-2</v>
      </c>
    </row>
    <row r="700" spans="1:7" x14ac:dyDescent="0.25">
      <c r="A700" s="9">
        <v>44868</v>
      </c>
      <c r="B700" s="7">
        <v>6260.25</v>
      </c>
      <c r="C700" s="7">
        <v>6233.12</v>
      </c>
      <c r="D700" s="7">
        <v>6466.12</v>
      </c>
      <c r="E700" s="7">
        <v>6165.41</v>
      </c>
      <c r="F700" t="s">
        <v>1123</v>
      </c>
      <c r="G700" s="8">
        <v>8.5000000000000006E-3</v>
      </c>
    </row>
    <row r="701" spans="1:7" x14ac:dyDescent="0.25">
      <c r="A701" s="9">
        <v>44837</v>
      </c>
      <c r="B701" s="7">
        <v>6207.2</v>
      </c>
      <c r="C701" s="7">
        <v>6376.57</v>
      </c>
      <c r="D701" s="7">
        <v>6380.77</v>
      </c>
      <c r="E701" s="7">
        <v>6166.11</v>
      </c>
      <c r="F701" t="s">
        <v>1124</v>
      </c>
      <c r="G701" s="8">
        <v>-2.8299999999999999E-2</v>
      </c>
    </row>
    <row r="702" spans="1:7" x14ac:dyDescent="0.25">
      <c r="A702" s="9">
        <v>44807</v>
      </c>
      <c r="B702" s="7">
        <v>6387.83</v>
      </c>
      <c r="C702" s="7">
        <v>6131.28</v>
      </c>
      <c r="D702" s="7">
        <v>6387.83</v>
      </c>
      <c r="E702" s="7">
        <v>6122.8</v>
      </c>
      <c r="F702" t="s">
        <v>1125</v>
      </c>
      <c r="G702" s="8">
        <v>7.1300000000000002E-2</v>
      </c>
    </row>
    <row r="703" spans="1:7" x14ac:dyDescent="0.25">
      <c r="A703" s="9">
        <v>44776</v>
      </c>
      <c r="B703" s="7">
        <v>5962.96</v>
      </c>
      <c r="C703" s="7">
        <v>5906.62</v>
      </c>
      <c r="D703" s="7">
        <v>6169.6</v>
      </c>
      <c r="E703" s="7">
        <v>5903.1</v>
      </c>
      <c r="F703" t="s">
        <v>1126</v>
      </c>
      <c r="G703" s="8">
        <v>-3.2000000000000002E-3</v>
      </c>
    </row>
    <row r="704" spans="1:7" x14ac:dyDescent="0.25">
      <c r="A704" s="9">
        <v>44745</v>
      </c>
      <c r="B704" s="7">
        <v>5982.27</v>
      </c>
      <c r="C704" s="7">
        <v>5887.83</v>
      </c>
      <c r="D704" s="7">
        <v>6115.23</v>
      </c>
      <c r="E704" s="7">
        <v>5756.38</v>
      </c>
      <c r="F704" t="s">
        <v>1127</v>
      </c>
      <c r="G704" s="8">
        <v>-1.3100000000000001E-2</v>
      </c>
    </row>
    <row r="705" spans="1:7" x14ac:dyDescent="0.25">
      <c r="A705" s="9">
        <v>44654</v>
      </c>
      <c r="B705" s="7">
        <v>6061.66</v>
      </c>
      <c r="C705" s="7">
        <v>6308.34</v>
      </c>
      <c r="D705" s="7">
        <v>6321.09</v>
      </c>
      <c r="E705" s="7">
        <v>6061.66</v>
      </c>
      <c r="F705" t="s">
        <v>1128</v>
      </c>
      <c r="G705" s="8">
        <v>-4.9700000000000001E-2</v>
      </c>
    </row>
    <row r="706" spans="1:7" x14ac:dyDescent="0.25">
      <c r="A706" s="9">
        <v>44623</v>
      </c>
      <c r="B706" s="7">
        <v>6378.37</v>
      </c>
      <c r="C706" s="7">
        <v>6488.25</v>
      </c>
      <c r="D706" s="7">
        <v>6543.77</v>
      </c>
      <c r="E706" s="7">
        <v>6361.6</v>
      </c>
      <c r="F706" t="s">
        <v>1129</v>
      </c>
      <c r="G706" s="8">
        <v>-1.84E-2</v>
      </c>
    </row>
    <row r="707" spans="1:7" x14ac:dyDescent="0.25">
      <c r="A707" s="9">
        <v>44595</v>
      </c>
      <c r="B707" s="7">
        <v>6498.02</v>
      </c>
      <c r="C707" s="7">
        <v>6359.98</v>
      </c>
      <c r="D707" s="7">
        <v>6544.15</v>
      </c>
      <c r="E707" s="7">
        <v>6312.3</v>
      </c>
      <c r="F707" t="s">
        <v>1130</v>
      </c>
      <c r="G707" s="8">
        <v>1.5900000000000001E-2</v>
      </c>
    </row>
    <row r="708" spans="1:7" x14ac:dyDescent="0.25">
      <c r="A708" s="9">
        <v>44564</v>
      </c>
      <c r="B708" s="7">
        <v>6396.49</v>
      </c>
      <c r="C708" s="7">
        <v>6646.16</v>
      </c>
      <c r="D708" s="7">
        <v>6662.25</v>
      </c>
      <c r="E708" s="7">
        <v>6396.49</v>
      </c>
      <c r="F708" t="s">
        <v>1131</v>
      </c>
      <c r="G708" s="8">
        <v>-3.9399999999999998E-2</v>
      </c>
    </row>
    <row r="709" spans="1:7" x14ac:dyDescent="0.25">
      <c r="A709" t="s">
        <v>1132</v>
      </c>
      <c r="B709" s="7">
        <v>6658.83</v>
      </c>
      <c r="C709" s="7">
        <v>6620.48</v>
      </c>
      <c r="D709" s="7">
        <v>6684.54</v>
      </c>
      <c r="E709" s="7">
        <v>6516.16</v>
      </c>
      <c r="F709" t="s">
        <v>1133</v>
      </c>
      <c r="G709" s="8">
        <v>-1.3899999999999999E-2</v>
      </c>
    </row>
    <row r="710" spans="1:7" x14ac:dyDescent="0.25">
      <c r="A710" t="s">
        <v>1134</v>
      </c>
      <c r="B710" s="7">
        <v>6752.43</v>
      </c>
      <c r="C710" s="7">
        <v>6571.95</v>
      </c>
      <c r="D710" s="7">
        <v>6762.78</v>
      </c>
      <c r="E710" s="7">
        <v>6521.56</v>
      </c>
      <c r="F710" t="s">
        <v>1135</v>
      </c>
      <c r="G710" s="8">
        <v>3.5499999999999997E-2</v>
      </c>
    </row>
    <row r="711" spans="1:7" x14ac:dyDescent="0.25">
      <c r="A711" t="s">
        <v>1136</v>
      </c>
      <c r="B711" s="7">
        <v>6521.05</v>
      </c>
      <c r="C711" s="7">
        <v>6496.25</v>
      </c>
      <c r="D711" s="7">
        <v>6617.09</v>
      </c>
      <c r="E711" s="7">
        <v>6432.89</v>
      </c>
      <c r="F711" t="s">
        <v>1137</v>
      </c>
      <c r="G711" s="8">
        <v>-3.8300000000000001E-2</v>
      </c>
    </row>
    <row r="712" spans="1:7" x14ac:dyDescent="0.25">
      <c r="A712" t="s">
        <v>1138</v>
      </c>
      <c r="B712" s="7">
        <v>6780.67</v>
      </c>
      <c r="C712" s="7">
        <v>6801.66</v>
      </c>
      <c r="D712" s="7">
        <v>6904.81</v>
      </c>
      <c r="E712" s="7">
        <v>6768.38</v>
      </c>
      <c r="F712" t="s">
        <v>1139</v>
      </c>
      <c r="G712" s="8">
        <v>-1E-3</v>
      </c>
    </row>
    <row r="713" spans="1:7" x14ac:dyDescent="0.25">
      <c r="A713" t="s">
        <v>1140</v>
      </c>
      <c r="B713" s="7">
        <v>6787.6</v>
      </c>
      <c r="C713" s="7">
        <v>6633.74</v>
      </c>
      <c r="D713" s="7">
        <v>6834.77</v>
      </c>
      <c r="E713" s="7">
        <v>6633.74</v>
      </c>
      <c r="F713" t="s">
        <v>1141</v>
      </c>
      <c r="G713" s="8">
        <v>-1E-4</v>
      </c>
    </row>
    <row r="714" spans="1:7" x14ac:dyDescent="0.25">
      <c r="A714" t="s">
        <v>1142</v>
      </c>
      <c r="B714" s="7">
        <v>6788.34</v>
      </c>
      <c r="C714" s="7">
        <v>6984.31</v>
      </c>
      <c r="D714" s="7">
        <v>6986.83</v>
      </c>
      <c r="E714" s="7">
        <v>6744.13</v>
      </c>
      <c r="F714" t="s">
        <v>1143</v>
      </c>
      <c r="G714" s="8">
        <v>-2.0400000000000001E-2</v>
      </c>
    </row>
    <row r="715" spans="1:7" x14ac:dyDescent="0.25">
      <c r="A715" t="s">
        <v>1144</v>
      </c>
      <c r="B715" s="7">
        <v>6929.63</v>
      </c>
      <c r="C715" s="7">
        <v>6951.83</v>
      </c>
      <c r="D715" s="7">
        <v>6995.62</v>
      </c>
      <c r="E715" s="7">
        <v>6895.09</v>
      </c>
      <c r="F715" t="s">
        <v>1145</v>
      </c>
      <c r="G715" s="8">
        <v>-2.5000000000000001E-3</v>
      </c>
    </row>
    <row r="716" spans="1:7" x14ac:dyDescent="0.25">
      <c r="A716" t="s">
        <v>1146</v>
      </c>
      <c r="B716" s="7">
        <v>6946.82</v>
      </c>
      <c r="C716" s="7">
        <v>6999.13</v>
      </c>
      <c r="D716" s="7">
        <v>7017.07</v>
      </c>
      <c r="E716" s="7">
        <v>6905.69</v>
      </c>
      <c r="F716" t="s">
        <v>1147</v>
      </c>
      <c r="G716" s="8">
        <v>-2.5999999999999999E-3</v>
      </c>
    </row>
    <row r="717" spans="1:7" x14ac:dyDescent="0.25">
      <c r="A717" t="s">
        <v>1148</v>
      </c>
      <c r="B717" s="7">
        <v>6964.98</v>
      </c>
      <c r="C717" s="7">
        <v>7009.69</v>
      </c>
      <c r="D717" s="7">
        <v>7031.93</v>
      </c>
      <c r="E717" s="7">
        <v>6931.09</v>
      </c>
      <c r="F717" t="s">
        <v>1149</v>
      </c>
      <c r="G717" s="8">
        <v>-2.0999999999999999E-3</v>
      </c>
    </row>
    <row r="718" spans="1:7" x14ac:dyDescent="0.25">
      <c r="A718" t="s">
        <v>1150</v>
      </c>
      <c r="B718" s="7">
        <v>6979.97</v>
      </c>
      <c r="C718" s="7">
        <v>6830.74</v>
      </c>
      <c r="D718" s="7">
        <v>6983.14</v>
      </c>
      <c r="E718" s="7">
        <v>6823.45</v>
      </c>
      <c r="F718" t="s">
        <v>912</v>
      </c>
      <c r="G718" s="8">
        <v>1.8599999999999998E-2</v>
      </c>
    </row>
    <row r="719" spans="1:7" x14ac:dyDescent="0.25">
      <c r="A719" t="s">
        <v>1151</v>
      </c>
      <c r="B719" s="7">
        <v>6852.2</v>
      </c>
      <c r="C719" s="7">
        <v>6868.07</v>
      </c>
      <c r="D719" s="7">
        <v>6875.31</v>
      </c>
      <c r="E719" s="7">
        <v>6757.33</v>
      </c>
      <c r="F719" t="s">
        <v>1152</v>
      </c>
      <c r="G719" s="8">
        <v>-2.2700000000000001E-2</v>
      </c>
    </row>
    <row r="720" spans="1:7" x14ac:dyDescent="0.25">
      <c r="A720" s="9">
        <v>44867</v>
      </c>
      <c r="B720" s="7">
        <v>7011.6</v>
      </c>
      <c r="C720" s="7">
        <v>7025.5</v>
      </c>
      <c r="D720" s="7">
        <v>7071.01</v>
      </c>
      <c r="E720" s="7">
        <v>6992.09</v>
      </c>
      <c r="F720" t="s">
        <v>1153</v>
      </c>
      <c r="G720" s="8">
        <v>-1.2699999999999999E-2</v>
      </c>
    </row>
    <row r="721" spans="1:7" x14ac:dyDescent="0.25">
      <c r="A721" s="9">
        <v>44836</v>
      </c>
      <c r="B721" s="7">
        <v>7101.55</v>
      </c>
      <c r="C721" s="7">
        <v>7141.69</v>
      </c>
      <c r="D721" s="7">
        <v>7169.63</v>
      </c>
      <c r="E721" s="7">
        <v>7051.6</v>
      </c>
      <c r="F721" t="s">
        <v>208</v>
      </c>
      <c r="G721" s="8">
        <v>-4.1000000000000003E-3</v>
      </c>
    </row>
    <row r="722" spans="1:7" x14ac:dyDescent="0.25">
      <c r="A722" s="9">
        <v>44806</v>
      </c>
      <c r="B722" s="7">
        <v>7130.88</v>
      </c>
      <c r="C722" s="7">
        <v>7086.34</v>
      </c>
      <c r="D722" s="7">
        <v>7146.31</v>
      </c>
      <c r="E722" s="7">
        <v>7086.34</v>
      </c>
      <c r="F722" t="s">
        <v>1154</v>
      </c>
      <c r="G722" s="8">
        <v>1.46E-2</v>
      </c>
    </row>
    <row r="723" spans="1:7" x14ac:dyDescent="0.25">
      <c r="A723" s="9">
        <v>44775</v>
      </c>
      <c r="B723" s="7">
        <v>7028.41</v>
      </c>
      <c r="C723" s="7">
        <v>7008.2</v>
      </c>
      <c r="D723" s="7">
        <v>7085.64</v>
      </c>
      <c r="E723" s="7">
        <v>6994.15</v>
      </c>
      <c r="F723" t="s">
        <v>234</v>
      </c>
      <c r="G723" s="8">
        <v>2.7000000000000001E-3</v>
      </c>
    </row>
    <row r="724" spans="1:7" x14ac:dyDescent="0.25">
      <c r="A724" s="9">
        <v>44744</v>
      </c>
      <c r="B724" s="7">
        <v>7009.25</v>
      </c>
      <c r="C724" s="7">
        <v>6987.17</v>
      </c>
      <c r="D724" s="7">
        <v>7025.59</v>
      </c>
      <c r="E724" s="7">
        <v>6929.71</v>
      </c>
      <c r="F724" t="s">
        <v>1155</v>
      </c>
      <c r="G724" s="8">
        <v>8.3000000000000001E-3</v>
      </c>
    </row>
    <row r="725" spans="1:7" x14ac:dyDescent="0.25">
      <c r="A725" s="9">
        <v>44653</v>
      </c>
      <c r="B725" s="7">
        <v>6951.38</v>
      </c>
      <c r="C725" s="7">
        <v>7049.8</v>
      </c>
      <c r="D725" s="7">
        <v>7066.44</v>
      </c>
      <c r="E725" s="7">
        <v>6914.77</v>
      </c>
      <c r="F725" t="s">
        <v>1156</v>
      </c>
      <c r="G725" s="8">
        <v>-7.7000000000000002E-3</v>
      </c>
    </row>
    <row r="726" spans="1:7" x14ac:dyDescent="0.25">
      <c r="A726" s="9">
        <v>44622</v>
      </c>
      <c r="B726" s="7">
        <v>7005.63</v>
      </c>
      <c r="C726" s="7">
        <v>7115.3</v>
      </c>
      <c r="D726" s="7">
        <v>7125.58</v>
      </c>
      <c r="E726" s="7">
        <v>6995.41</v>
      </c>
      <c r="F726" t="s">
        <v>1157</v>
      </c>
      <c r="G726" s="8">
        <v>-1.54E-2</v>
      </c>
    </row>
    <row r="727" spans="1:7" x14ac:dyDescent="0.25">
      <c r="A727" s="9">
        <v>44594</v>
      </c>
      <c r="B727" s="7">
        <v>7115.27</v>
      </c>
      <c r="C727" s="7">
        <v>7117.45</v>
      </c>
      <c r="D727" s="7">
        <v>7150.54</v>
      </c>
      <c r="E727" s="7">
        <v>7109.3</v>
      </c>
      <c r="F727" t="s">
        <v>1158</v>
      </c>
      <c r="G727" s="8">
        <v>2.2000000000000001E-3</v>
      </c>
    </row>
    <row r="728" spans="1:7" x14ac:dyDescent="0.25">
      <c r="A728" s="9">
        <v>44563</v>
      </c>
      <c r="B728" s="7">
        <v>7099.49</v>
      </c>
      <c r="C728" s="7">
        <v>7052.3</v>
      </c>
      <c r="D728" s="7">
        <v>7105.23</v>
      </c>
      <c r="E728" s="7">
        <v>7035.91</v>
      </c>
      <c r="F728" t="s">
        <v>1159</v>
      </c>
      <c r="G728" s="8">
        <v>1.43E-2</v>
      </c>
    </row>
    <row r="729" spans="1:7" x14ac:dyDescent="0.25">
      <c r="A729" t="s">
        <v>1160</v>
      </c>
      <c r="B729" s="7">
        <v>6999.2</v>
      </c>
      <c r="C729" s="7">
        <v>7039.71</v>
      </c>
      <c r="D729" s="7">
        <v>7043.22</v>
      </c>
      <c r="E729" s="7">
        <v>6937.1</v>
      </c>
      <c r="F729" t="s">
        <v>1161</v>
      </c>
      <c r="G729" s="8">
        <v>4.7999999999999996E-3</v>
      </c>
    </row>
    <row r="730" spans="1:7" x14ac:dyDescent="0.25">
      <c r="A730" t="s">
        <v>1162</v>
      </c>
      <c r="B730" s="7">
        <v>6965.88</v>
      </c>
      <c r="C730" s="7">
        <v>7043.43</v>
      </c>
      <c r="D730" s="7">
        <v>7053</v>
      </c>
      <c r="E730" s="7">
        <v>6846.22</v>
      </c>
      <c r="F730" t="s">
        <v>1163</v>
      </c>
      <c r="G730" s="8">
        <v>-8.2000000000000007E-3</v>
      </c>
    </row>
    <row r="731" spans="1:7" x14ac:dyDescent="0.25">
      <c r="A731" t="s">
        <v>1164</v>
      </c>
      <c r="B731" s="7">
        <v>7023.8</v>
      </c>
      <c r="C731" s="7">
        <v>6879.64</v>
      </c>
      <c r="D731" s="7">
        <v>7053.45</v>
      </c>
      <c r="E731" s="7">
        <v>6873.6</v>
      </c>
      <c r="F731" t="s">
        <v>1165</v>
      </c>
      <c r="G731" s="8">
        <v>6.0000000000000001E-3</v>
      </c>
    </row>
    <row r="732" spans="1:7" x14ac:dyDescent="0.25">
      <c r="A732" t="s">
        <v>1166</v>
      </c>
      <c r="B732" s="7">
        <v>6981.96</v>
      </c>
      <c r="C732" s="7">
        <v>6901.74</v>
      </c>
      <c r="D732" s="7">
        <v>7024.14</v>
      </c>
      <c r="E732" s="7">
        <v>6901.74</v>
      </c>
      <c r="F732" t="s">
        <v>1167</v>
      </c>
      <c r="G732" s="8">
        <v>2.1100000000000001E-2</v>
      </c>
    </row>
    <row r="733" spans="1:7" x14ac:dyDescent="0.25">
      <c r="A733" t="s">
        <v>1168</v>
      </c>
      <c r="B733" s="7">
        <v>6837.96</v>
      </c>
      <c r="C733" s="7">
        <v>6870.27</v>
      </c>
      <c r="D733" s="7">
        <v>6890.54</v>
      </c>
      <c r="E733" s="7">
        <v>6776.8</v>
      </c>
      <c r="F733" t="s">
        <v>1169</v>
      </c>
      <c r="G733" s="8">
        <v>7.4000000000000003E-3</v>
      </c>
    </row>
    <row r="734" spans="1:7" x14ac:dyDescent="0.25">
      <c r="A734" t="s">
        <v>1170</v>
      </c>
      <c r="B734" s="7">
        <v>6787.79</v>
      </c>
      <c r="C734" s="7">
        <v>7014.84</v>
      </c>
      <c r="D734" s="7">
        <v>7070.92</v>
      </c>
      <c r="E734" s="7">
        <v>6754.24</v>
      </c>
      <c r="F734" t="s">
        <v>1171</v>
      </c>
      <c r="G734" s="8">
        <v>-3.9699999999999999E-2</v>
      </c>
    </row>
    <row r="735" spans="1:7" x14ac:dyDescent="0.25">
      <c r="A735" t="s">
        <v>1172</v>
      </c>
      <c r="B735" s="7">
        <v>7068.59</v>
      </c>
      <c r="C735" s="7">
        <v>7088.44</v>
      </c>
      <c r="D735" s="7">
        <v>7122.06</v>
      </c>
      <c r="E735" s="7">
        <v>7013.49</v>
      </c>
      <c r="F735" t="s">
        <v>1173</v>
      </c>
      <c r="G735" s="8">
        <v>-1.7500000000000002E-2</v>
      </c>
    </row>
    <row r="736" spans="1:7" x14ac:dyDescent="0.25">
      <c r="A736" t="s">
        <v>1174</v>
      </c>
      <c r="B736" s="7">
        <v>7194.16</v>
      </c>
      <c r="C736" s="7">
        <v>7190.02</v>
      </c>
      <c r="D736" s="7">
        <v>7199.97</v>
      </c>
      <c r="E736" s="7">
        <v>7123.62</v>
      </c>
      <c r="F736" t="s">
        <v>1175</v>
      </c>
      <c r="G736" s="8">
        <v>3.0000000000000001E-3</v>
      </c>
    </row>
    <row r="737" spans="1:7" x14ac:dyDescent="0.25">
      <c r="A737" t="s">
        <v>1176</v>
      </c>
      <c r="B737" s="7">
        <v>7172.98</v>
      </c>
      <c r="C737" s="7">
        <v>7104.11</v>
      </c>
      <c r="D737" s="7">
        <v>7211.24</v>
      </c>
      <c r="E737" s="7">
        <v>7104.11</v>
      </c>
      <c r="F737" t="s">
        <v>1177</v>
      </c>
      <c r="G737" s="8">
        <v>5.4999999999999997E-3</v>
      </c>
    </row>
    <row r="738" spans="1:7" x14ac:dyDescent="0.25">
      <c r="A738" t="s">
        <v>1178</v>
      </c>
      <c r="B738" s="7">
        <v>7133.83</v>
      </c>
      <c r="C738" s="7">
        <v>7172.43</v>
      </c>
      <c r="D738" s="7">
        <v>7175.46</v>
      </c>
      <c r="E738" s="7">
        <v>7098.19</v>
      </c>
      <c r="F738" t="s">
        <v>1179</v>
      </c>
      <c r="G738" s="8">
        <v>-9.4000000000000004E-3</v>
      </c>
    </row>
    <row r="739" spans="1:7" x14ac:dyDescent="0.25">
      <c r="A739" t="s">
        <v>1180</v>
      </c>
      <c r="B739" s="7">
        <v>7201.64</v>
      </c>
      <c r="C739" s="7">
        <v>7167.53</v>
      </c>
      <c r="D739" s="7">
        <v>7213.7</v>
      </c>
      <c r="E739" s="7">
        <v>7148.98</v>
      </c>
      <c r="F739" t="s">
        <v>1181</v>
      </c>
      <c r="G739" s="8">
        <v>8.2000000000000007E-3</v>
      </c>
    </row>
    <row r="740" spans="1:7" x14ac:dyDescent="0.25">
      <c r="A740" t="s">
        <v>1182</v>
      </c>
      <c r="B740" s="7">
        <v>7143</v>
      </c>
      <c r="C740" s="7">
        <v>7132.59</v>
      </c>
      <c r="D740" s="7">
        <v>7171.4</v>
      </c>
      <c r="E740" s="7">
        <v>7119.01</v>
      </c>
      <c r="F740" t="s">
        <v>1183</v>
      </c>
      <c r="G740" s="8">
        <v>-8.0999999999999996E-3</v>
      </c>
    </row>
    <row r="741" spans="1:7" x14ac:dyDescent="0.25">
      <c r="A741" t="s">
        <v>1184</v>
      </c>
      <c r="B741" s="7">
        <v>7201.14</v>
      </c>
      <c r="C741" s="7">
        <v>7215.48</v>
      </c>
      <c r="D741" s="7">
        <v>7227.35</v>
      </c>
      <c r="E741" s="7">
        <v>7166.94</v>
      </c>
      <c r="F741" t="s">
        <v>1185</v>
      </c>
      <c r="G741" s="8">
        <v>-5.0000000000000001E-3</v>
      </c>
    </row>
    <row r="742" spans="1:7" x14ac:dyDescent="0.25">
      <c r="A742" s="9">
        <v>44896</v>
      </c>
      <c r="B742" s="7">
        <v>7237.19</v>
      </c>
      <c r="C742" s="7">
        <v>7235.47</v>
      </c>
      <c r="D742" s="7">
        <v>7249.88</v>
      </c>
      <c r="E742" s="7">
        <v>7183.38</v>
      </c>
      <c r="F742" t="s">
        <v>1186</v>
      </c>
      <c r="G742" s="8">
        <v>7.4999999999999997E-3</v>
      </c>
    </row>
    <row r="743" spans="1:7" x14ac:dyDescent="0.25">
      <c r="A743" s="9">
        <v>44866</v>
      </c>
      <c r="B743" s="7">
        <v>7183.38</v>
      </c>
      <c r="C743" s="7">
        <v>7185.21</v>
      </c>
      <c r="D743" s="7">
        <v>7227.71</v>
      </c>
      <c r="E743" s="7">
        <v>7160.44</v>
      </c>
      <c r="F743" t="s">
        <v>708</v>
      </c>
      <c r="G743" s="8">
        <v>9.4999999999999998E-3</v>
      </c>
    </row>
    <row r="744" spans="1:7" x14ac:dyDescent="0.25">
      <c r="A744" s="9">
        <v>44835</v>
      </c>
      <c r="B744" s="7">
        <v>7115.77</v>
      </c>
      <c r="C744" s="7">
        <v>7245.21</v>
      </c>
      <c r="D744" s="7">
        <v>7250.24</v>
      </c>
      <c r="E744" s="7">
        <v>7105.55</v>
      </c>
      <c r="F744" t="s">
        <v>1187</v>
      </c>
      <c r="G744" s="8">
        <v>-1.44E-2</v>
      </c>
    </row>
    <row r="745" spans="1:7" x14ac:dyDescent="0.25">
      <c r="A745" s="9">
        <v>44743</v>
      </c>
      <c r="B745" s="7">
        <v>7219.48</v>
      </c>
      <c r="C745" s="7">
        <v>7250.79</v>
      </c>
      <c r="D745" s="7">
        <v>7269.65</v>
      </c>
      <c r="E745" s="7">
        <v>7178.18</v>
      </c>
      <c r="F745" t="s">
        <v>910</v>
      </c>
      <c r="G745" s="8">
        <v>-4.1999999999999997E-3</v>
      </c>
    </row>
    <row r="746" spans="1:7" x14ac:dyDescent="0.25">
      <c r="A746" s="9">
        <v>44713</v>
      </c>
      <c r="B746" s="7">
        <v>7249.66</v>
      </c>
      <c r="C746" s="7">
        <v>7264</v>
      </c>
      <c r="D746" s="7">
        <v>7316.06</v>
      </c>
      <c r="E746" s="7">
        <v>7240.88</v>
      </c>
      <c r="F746" t="s">
        <v>1188</v>
      </c>
      <c r="G746" s="8">
        <v>-1.72E-2</v>
      </c>
    </row>
    <row r="747" spans="1:7" x14ac:dyDescent="0.25">
      <c r="A747" s="9">
        <v>44682</v>
      </c>
      <c r="B747" s="7">
        <v>7376.37</v>
      </c>
      <c r="C747" s="7">
        <v>7320.48</v>
      </c>
      <c r="D747" s="7">
        <v>7384.86</v>
      </c>
      <c r="E747" s="7">
        <v>7313.53</v>
      </c>
      <c r="F747" t="s">
        <v>1189</v>
      </c>
      <c r="G747" s="8">
        <v>8.0999999999999996E-3</v>
      </c>
    </row>
    <row r="748" spans="1:7" x14ac:dyDescent="0.25">
      <c r="A748" s="9">
        <v>44652</v>
      </c>
      <c r="B748" s="7">
        <v>7317.41</v>
      </c>
      <c r="C748" s="7">
        <v>7273.57</v>
      </c>
      <c r="D748" s="7">
        <v>7332.21</v>
      </c>
      <c r="E748" s="7">
        <v>7250.24</v>
      </c>
      <c r="F748" t="s">
        <v>1190</v>
      </c>
      <c r="G748" s="8">
        <v>1.3899999999999999E-2</v>
      </c>
    </row>
    <row r="749" spans="1:7" x14ac:dyDescent="0.25">
      <c r="A749" s="9">
        <v>44621</v>
      </c>
      <c r="B749" s="7">
        <v>7217.22</v>
      </c>
      <c r="C749" s="7">
        <v>7197.4</v>
      </c>
      <c r="D749" s="7">
        <v>7245.66</v>
      </c>
      <c r="E749" s="7">
        <v>7195.82</v>
      </c>
      <c r="F749" t="s">
        <v>1191</v>
      </c>
      <c r="G749" s="8">
        <v>8.9999999999999993E-3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65F42-A12A-4161-A573-927C2AC5E1D4}">
  <sheetPr codeName="Sheet9"/>
  <dimension ref="A1:G15"/>
  <sheetViews>
    <sheetView tabSelected="1" workbookViewId="0">
      <selection activeCell="E1" sqref="E1:G11"/>
    </sheetView>
  </sheetViews>
  <sheetFormatPr defaultRowHeight="15" x14ac:dyDescent="0.25"/>
  <cols>
    <col min="6" max="6" width="15.42578125" customWidth="1"/>
  </cols>
  <sheetData>
    <row r="1" spans="1:7" x14ac:dyDescent="0.25">
      <c r="A1" t="s">
        <v>7</v>
      </c>
      <c r="B1">
        <v>100</v>
      </c>
      <c r="E1" t="s">
        <v>1193</v>
      </c>
      <c r="F1" t="s">
        <v>1195</v>
      </c>
      <c r="G1" t="s">
        <v>1196</v>
      </c>
    </row>
    <row r="2" spans="1:7" x14ac:dyDescent="0.25">
      <c r="A2" t="s">
        <v>1193</v>
      </c>
      <c r="B2">
        <v>10</v>
      </c>
      <c r="E2">
        <v>1</v>
      </c>
      <c r="F2">
        <f>$B$1*$B$3</f>
        <v>4</v>
      </c>
      <c r="G2">
        <f>F2/((1+$B$4)^E2)</f>
        <v>3.8095238095238093</v>
      </c>
    </row>
    <row r="3" spans="1:7" x14ac:dyDescent="0.25">
      <c r="A3" t="s">
        <v>1194</v>
      </c>
      <c r="B3">
        <v>0.04</v>
      </c>
      <c r="E3">
        <v>2</v>
      </c>
      <c r="F3">
        <f t="shared" ref="F3:F10" si="0">$B$1*$B$3</f>
        <v>4</v>
      </c>
      <c r="G3">
        <f t="shared" ref="G3:G11" si="1">F3/((1+$B$4)^E3)</f>
        <v>3.6281179138321993</v>
      </c>
    </row>
    <row r="4" spans="1:7" x14ac:dyDescent="0.25">
      <c r="A4" t="s">
        <v>2</v>
      </c>
      <c r="B4">
        <v>0.05</v>
      </c>
      <c r="E4">
        <v>3</v>
      </c>
      <c r="F4">
        <f t="shared" si="0"/>
        <v>4</v>
      </c>
      <c r="G4">
        <f t="shared" si="1"/>
        <v>3.4553503941259041</v>
      </c>
    </row>
    <row r="5" spans="1:7" x14ac:dyDescent="0.25">
      <c r="E5">
        <v>4</v>
      </c>
      <c r="F5">
        <f t="shared" si="0"/>
        <v>4</v>
      </c>
      <c r="G5">
        <f t="shared" si="1"/>
        <v>3.2908098991675279</v>
      </c>
    </row>
    <row r="6" spans="1:7" x14ac:dyDescent="0.25">
      <c r="E6">
        <v>5</v>
      </c>
      <c r="F6">
        <f t="shared" si="0"/>
        <v>4</v>
      </c>
      <c r="G6">
        <f t="shared" si="1"/>
        <v>3.1341046658738358</v>
      </c>
    </row>
    <row r="7" spans="1:7" x14ac:dyDescent="0.25">
      <c r="E7">
        <v>6</v>
      </c>
      <c r="F7">
        <f t="shared" si="0"/>
        <v>4</v>
      </c>
      <c r="G7">
        <f t="shared" si="1"/>
        <v>2.9848615865465105</v>
      </c>
    </row>
    <row r="8" spans="1:7" x14ac:dyDescent="0.25">
      <c r="E8">
        <v>7</v>
      </c>
      <c r="F8">
        <f t="shared" si="0"/>
        <v>4</v>
      </c>
      <c r="G8">
        <f t="shared" si="1"/>
        <v>2.8427253205204859</v>
      </c>
    </row>
    <row r="9" spans="1:7" x14ac:dyDescent="0.25">
      <c r="E9">
        <v>8</v>
      </c>
      <c r="F9">
        <f t="shared" si="0"/>
        <v>4</v>
      </c>
      <c r="G9">
        <f t="shared" si="1"/>
        <v>2.7073574481147489</v>
      </c>
    </row>
    <row r="10" spans="1:7" x14ac:dyDescent="0.25">
      <c r="E10">
        <v>9</v>
      </c>
      <c r="F10">
        <f>$B$1*$B$3</f>
        <v>4</v>
      </c>
      <c r="G10">
        <f t="shared" si="1"/>
        <v>2.578435664871189</v>
      </c>
    </row>
    <row r="11" spans="1:7" x14ac:dyDescent="0.25">
      <c r="E11">
        <v>10</v>
      </c>
      <c r="F11">
        <f>$B$1*$B$3+B1</f>
        <v>104</v>
      </c>
      <c r="G11">
        <f t="shared" si="1"/>
        <v>63.846978368238972</v>
      </c>
    </row>
    <row r="13" spans="1:7" x14ac:dyDescent="0.25">
      <c r="G13">
        <f>SUM(G2:G11)</f>
        <v>92.278265070815181</v>
      </c>
    </row>
    <row r="15" spans="1:7" x14ac:dyDescent="0.25">
      <c r="C15" cm="1">
        <f t="array" ref="C15">priceFunctionObligation(B1,B2,B3,B4)</f>
        <v>92.278265070815166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485775</xdr:colOff>
                    <xdr:row>4</xdr:row>
                    <xdr:rowOff>152400</xdr:rowOff>
                  </from>
                  <to>
                    <xdr:col>10</xdr:col>
                    <xdr:colOff>457200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974C1-C3F4-47B5-BC49-BF0B480336E4}">
  <sheetPr codeName="Sheet10"/>
  <dimension ref="A1:B9"/>
  <sheetViews>
    <sheetView workbookViewId="0">
      <selection activeCell="B10" sqref="B10"/>
    </sheetView>
  </sheetViews>
  <sheetFormatPr defaultRowHeight="15" x14ac:dyDescent="0.25"/>
  <sheetData>
    <row r="1" spans="1:2" x14ac:dyDescent="0.25">
      <c r="A1" t="s">
        <v>7</v>
      </c>
      <c r="B1">
        <v>100</v>
      </c>
    </row>
    <row r="2" spans="1:2" x14ac:dyDescent="0.25">
      <c r="A2" t="s">
        <v>1193</v>
      </c>
      <c r="B2">
        <v>10</v>
      </c>
    </row>
    <row r="3" spans="1:2" x14ac:dyDescent="0.25">
      <c r="A3" t="s">
        <v>1194</v>
      </c>
      <c r="B3">
        <v>0.04</v>
      </c>
    </row>
    <row r="4" spans="1:2" x14ac:dyDescent="0.25">
      <c r="A4" t="s">
        <v>2</v>
      </c>
      <c r="B4">
        <v>0.05</v>
      </c>
    </row>
    <row r="9" spans="1:2" x14ac:dyDescent="0.25">
      <c r="B9" cm="1">
        <f t="array" ref="B9">priceFunctionObligation(B1,B2,B3,B4)</f>
        <v>92.278265070815166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Hello</vt:lpstr>
      <vt:lpstr>Sheet1</vt:lpstr>
      <vt:lpstr>Sheet6</vt:lpstr>
      <vt:lpstr>Sheet8</vt:lpstr>
      <vt:lpstr>Sheet7</vt:lpstr>
      <vt:lpstr>Sheet9</vt:lpstr>
      <vt:lpstr>Sheet10</vt:lpstr>
      <vt:lpstr>Sheet11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7618</dc:creator>
  <cp:lastModifiedBy>7618</cp:lastModifiedBy>
  <dcterms:created xsi:type="dcterms:W3CDTF">2024-12-07T08:21:05Z</dcterms:created>
  <dcterms:modified xsi:type="dcterms:W3CDTF">2024-12-07T11:55:34Z</dcterms:modified>
</cp:coreProperties>
</file>