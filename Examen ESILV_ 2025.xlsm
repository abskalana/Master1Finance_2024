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esktop\Cours VBA Master 1\projects\"/>
    </mc:Choice>
  </mc:AlternateContent>
  <xr:revisionPtr revIDLastSave="0" documentId="8_{2C7028C4-5CEE-4CA5-A84D-8FF56E6F4E66}" xr6:coauthVersionLast="47" xr6:coauthVersionMax="47" xr10:uidLastSave="{00000000-0000-0000-0000-000000000000}"/>
  <bookViews>
    <workbookView xWindow="-120" yWindow="-120" windowWidth="20730" windowHeight="11040" activeTab="2" xr2:uid="{E973C1FD-AB64-46F6-9924-6AE303AD7733}"/>
  </bookViews>
  <sheets>
    <sheet name="TradeInput" sheetId="11" r:id="rId1"/>
    <sheet name="Output" sheetId="5" r:id="rId2"/>
    <sheet name="setting" sheetId="6" r:id="rId3"/>
  </sheets>
  <functionGroups builtInGroupCount="19"/>
  <definedNames>
    <definedName name="constant">setting!$Q$1:$R$3</definedName>
    <definedName name="data_output">Output!$G$7:$U$236</definedName>
    <definedName name="email" localSheetId="0">TradeInput!$I$12</definedName>
    <definedName name="email">#REF!</definedName>
    <definedName name="future_mat">setting!$U$2:$V$13</definedName>
    <definedName name="future_maturity">setting!$U$2:$V$13</definedName>
    <definedName name="input_effacer" localSheetId="0">TradeInput!$H$50:$N$275</definedName>
    <definedName name="input_effacer">#REF!</definedName>
    <definedName name="setting_book">setting!$L$1:$M$3</definedName>
    <definedName name="setting_matching">setting!#REF!</definedName>
    <definedName name="setting_maturity">setting!#REF!</definedName>
    <definedName name="setting_trader">setting!$E$1:$I$7</definedName>
    <definedName name="tbl_input" localSheetId="0">TradeInput!$H$50:$N$649</definedName>
    <definedName name="tbl_input">#REF!</definedName>
    <definedName name="tbl_output">Output!$G$6:$U$123</definedName>
    <definedName name="Title" localSheetId="0">TradeInput!$I$13</definedName>
    <definedName name="Title">#REF!</definedName>
    <definedName name="trade_output">Output!$G$6:$U$30</definedName>
    <definedName name="trade_output_content">Output!$G$7:$U$30</definedName>
    <definedName name="trade_table">TradeInput!$H$6:$H$714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" i="6" l="1"/>
</calcChain>
</file>

<file path=xl/sharedStrings.xml><?xml version="1.0" encoding="utf-8"?>
<sst xmlns="http://schemas.openxmlformats.org/spreadsheetml/2006/main" count="87" uniqueCount="66">
  <si>
    <t>Reference</t>
  </si>
  <si>
    <t>Book</t>
  </si>
  <si>
    <t>TradeDate</t>
  </si>
  <si>
    <t>BuySell</t>
  </si>
  <si>
    <t>CallPut</t>
  </si>
  <si>
    <t>Strike</t>
  </si>
  <si>
    <t>Price</t>
  </si>
  <si>
    <t>ContractCode</t>
  </si>
  <si>
    <t>Quantity</t>
  </si>
  <si>
    <t>Trader</t>
  </si>
  <si>
    <t>ExpiryMonth</t>
  </si>
  <si>
    <t>ExecutingBroker</t>
  </si>
  <si>
    <t>ClearingBroker</t>
  </si>
  <si>
    <t>Expiry</t>
  </si>
  <si>
    <t>LastTradingDate</t>
  </si>
  <si>
    <t>Call</t>
  </si>
  <si>
    <t>SP5SPX/CO</t>
  </si>
  <si>
    <t>Options</t>
  </si>
  <si>
    <t>Futures</t>
  </si>
  <si>
    <t>STXE/DTB</t>
  </si>
  <si>
    <t>SMI</t>
  </si>
  <si>
    <t>USSPXW/CBOE</t>
  </si>
  <si>
    <t>Sell</t>
  </si>
  <si>
    <t>Buy</t>
  </si>
  <si>
    <t>QYM3</t>
  </si>
  <si>
    <t>QUY3</t>
  </si>
  <si>
    <t>QBM5</t>
  </si>
  <si>
    <t>QCY5</t>
  </si>
  <si>
    <t>QFY4</t>
  </si>
  <si>
    <t>AHH1</t>
  </si>
  <si>
    <t>DVK1</t>
  </si>
  <si>
    <t>Code</t>
  </si>
  <si>
    <t>GFISGB2L</t>
  </si>
  <si>
    <t>CSFPBKRFBS</t>
  </si>
  <si>
    <t>-450 WSX5EA 12/04/20 C3550.0 @ 28.9333333</t>
  </si>
  <si>
    <t>-310 WSMIA 12/04/20 C10650.0 @ 92.5</t>
  </si>
  <si>
    <t>+118 SMZ0 @ 10523</t>
  </si>
  <si>
    <t>Trades</t>
  </si>
  <si>
    <t>AH5</t>
  </si>
  <si>
    <t>QRM3</t>
  </si>
  <si>
    <t>QRY3</t>
  </si>
  <si>
    <t>January</t>
  </si>
  <si>
    <t>F</t>
  </si>
  <si>
    <t>February</t>
  </si>
  <si>
    <t>G</t>
  </si>
  <si>
    <t>March</t>
  </si>
  <si>
    <t>H</t>
  </si>
  <si>
    <t>April</t>
  </si>
  <si>
    <t>J</t>
  </si>
  <si>
    <t>May</t>
  </si>
  <si>
    <t>K</t>
  </si>
  <si>
    <t>June</t>
  </si>
  <si>
    <t>M</t>
  </si>
  <si>
    <t>July</t>
  </si>
  <si>
    <t>N</t>
  </si>
  <si>
    <t>August</t>
  </si>
  <si>
    <t>Q</t>
  </si>
  <si>
    <t>September</t>
  </si>
  <si>
    <t>U</t>
  </si>
  <si>
    <t>October</t>
  </si>
  <si>
    <t>V</t>
  </si>
  <si>
    <t>November</t>
  </si>
  <si>
    <t>X</t>
  </si>
  <si>
    <t>December</t>
  </si>
  <si>
    <t>Z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</si>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</sst>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mmmm\-yy;@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222222"/>
      <name val="Arial"/>
      <family val="2"/>
    </font>
    <font>
      <sz val="6"/>
      <color rgb="FF25323C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FFFF"/>
        <bgColor indexed="64"/>
      </patternFill>
    </fill>
    <fill>
      <patternFill patternType="solid">
        <fgColor rgb="FFF1F5F7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C2CACE"/>
      </left>
      <right style="medium">
        <color rgb="FFC2CACE"/>
      </right>
      <top style="medium">
        <color rgb="FFC2CACE"/>
      </top>
      <bottom style="medium">
        <color rgb="FFC2CACE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164" fontId="2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17" fontId="0" fillId="0" borderId="0" xfId="0" applyNumberFormat="1"/>
    <xf numFmtId="0" fontId="1" fillId="0" borderId="0" xfId="0" applyFont="1"/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0" fontId="0" fillId="2" borderId="0" xfId="0" applyFill="1"/>
    <xf numFmtId="0" fontId="3" fillId="0" borderId="0" xfId="2"/>
    <xf numFmtId="0" fontId="4" fillId="3" borderId="1" xfId="0" applyFont="1" applyFill="1" applyBorder="1"/>
    <xf numFmtId="14" fontId="0" fillId="0" borderId="0" xfId="0" applyNumberFormat="1"/>
    <xf numFmtId="0" fontId="0" fillId="4" borderId="2" xfId="0" applyFill="1" applyBorder="1"/>
    <xf numFmtId="165" fontId="0" fillId="0" borderId="0" xfId="0" applyNumberFormat="1"/>
    <xf numFmtId="49" fontId="0" fillId="0" borderId="0" xfId="0" applyNumberFormat="1"/>
    <xf numFmtId="0" fontId="6" fillId="5" borderId="3" xfId="0" applyFont="1" applyFill="1" applyBorder="1" applyAlignment="1">
      <alignment vertical="top" wrapText="1"/>
    </xf>
    <xf numFmtId="0" fontId="6" fillId="5" borderId="3" xfId="0" applyFont="1" applyFill="1" applyBorder="1" applyAlignment="1">
      <alignment horizontal="center" vertical="top" wrapText="1"/>
    </xf>
    <xf numFmtId="0" fontId="6" fillId="6" borderId="3" xfId="0" applyFont="1" applyFill="1" applyBorder="1" applyAlignment="1">
      <alignment vertical="top" wrapText="1"/>
    </xf>
    <xf numFmtId="0" fontId="6" fillId="6" borderId="3" xfId="0" applyFont="1" applyFill="1" applyBorder="1" applyAlignment="1">
      <alignment horizontal="center" vertical="top" wrapText="1"/>
    </xf>
    <xf numFmtId="49" fontId="0" fillId="7" borderId="4" xfId="0" applyNumberFormat="1" applyFill="1" applyBorder="1"/>
    <xf numFmtId="0" fontId="5" fillId="0" borderId="4" xfId="0" applyFont="1" applyBorder="1"/>
    <xf numFmtId="0" fontId="5" fillId="7" borderId="4" xfId="0" applyFont="1" applyFill="1" applyBorder="1"/>
    <xf numFmtId="2" fontId="0" fillId="0" borderId="0" xfId="0" applyNumberFormat="1"/>
  </cellXfs>
  <cellStyles count="3">
    <cellStyle name="Hyperlink" xfId="2" builtinId="8"/>
    <cellStyle name="Normal" xfId="0" builtinId="0"/>
    <cellStyle name="Normal 8" xfId="1" xr:uid="{CD017703-88B8-4091-80FF-84351DC8EC4E}"/>
  </cellStyles>
  <dxfs count="4">
    <dxf>
      <numFmt numFmtId="165" formatCode="[$-409]mmmm\-yy;@"/>
    </dxf>
    <dxf>
      <numFmt numFmtId="2" formatCode="0.00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2095500</xdr:colOff>
          <xdr:row>0</xdr:row>
          <xdr:rowOff>152400</xdr:rowOff>
        </xdr:from>
        <xdr:to>
          <xdr:col>7</xdr:col>
          <xdr:colOff>3848100</xdr:colOff>
          <xdr:row>2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66675</xdr:rowOff>
        </xdr:from>
        <xdr:to>
          <xdr:col>9</xdr:col>
          <xdr:colOff>542925</xdr:colOff>
          <xdr:row>2</xdr:row>
          <xdr:rowOff>85725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64C5AD-8E52-422C-BD70-85CBFCD5FC61}" name="Table6" displayName="Table6" ref="H5:H47" totalsRowShown="0" dataDxfId="3">
  <autoFilter ref="H5:H47" xr:uid="{514C6E55-701E-4F35-8A8C-58440B5908F3}"/>
  <tableColumns count="1">
    <tableColumn id="1" xr3:uid="{EEC5906C-0EB9-4514-B999-AC78BF50EDB0}" name="Trade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9FE07A-278F-4125-9E1C-0C0127A029B5}" name="Table38" displayName="Table38" ref="G6:U18">
  <tableColumns count="15">
    <tableColumn id="1" xr3:uid="{ADF55AA2-141D-4F1A-B07D-B66651C2A728}" name="Reference" totalsRowLabel="Total"/>
    <tableColumn id="2" xr3:uid="{0BDB2174-CEBE-4B85-A4D3-85880BD5558B}" name="Book"/>
    <tableColumn id="3" xr3:uid="{53E466E9-D7BA-4C2D-B097-5A4C7EADEB83}" name="TradeDate"/>
    <tableColumn id="4" xr3:uid="{1A573373-6F54-4D20-B19F-21E1DA7B8F56}" name="BuySell"/>
    <tableColumn id="5" xr3:uid="{BB0FF665-342A-43AC-8B86-986ACC87BCF4}" name="CallPut"/>
    <tableColumn id="6" xr3:uid="{08CAAD76-6C6E-4BF4-BED4-48B72B2A1DB0}" name="Strike"/>
    <tableColumn id="7" xr3:uid="{0C91B9A2-3812-4B5D-A55D-CDDEEE330092}" name="Price" dataDxfId="1"/>
    <tableColumn id="8" xr3:uid="{4D724CF9-70EB-4449-A93F-A25748D32698}" name="ContractCode"/>
    <tableColumn id="9" xr3:uid="{739A82F4-449F-49F7-86B7-889E7A300148}" name="Quantity"/>
    <tableColumn id="10" xr3:uid="{9DECF30E-7616-4525-B6B6-CF03D56DC0CD}" name="Trader"/>
    <tableColumn id="11" xr3:uid="{3EA21D8A-35A6-4160-860D-7C98749FAD83}" name="ExpiryMonth" dataDxfId="0"/>
    <tableColumn id="12" xr3:uid="{809DA578-0C2C-4994-9F67-DE2DE0BB67EA}" name="ExecutingBroker"/>
    <tableColumn id="13" xr3:uid="{990541FF-E6DD-4B35-BEDF-FA963DB4545D}" name="ClearingBroker"/>
    <tableColumn id="14" xr3:uid="{CFD3DA3A-FAA7-4A0B-AEAD-7BDB7A85087F}" name="Expiry"/>
    <tableColumn id="15" xr3:uid="{5DB99FA0-832C-4E78-A712-DD6B1928DDEA}" name="LastTradingDate" totalsRowFunction="c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E29E5-6C32-4CF7-9D02-D9E741228AF3}">
  <sheetPr codeName="Sheet4"/>
  <dimension ref="H5:Z47"/>
  <sheetViews>
    <sheetView showGridLines="0" topLeftCell="C1" workbookViewId="0">
      <selection activeCell="E12" sqref="E12"/>
    </sheetView>
  </sheetViews>
  <sheetFormatPr defaultRowHeight="15" x14ac:dyDescent="0.25"/>
  <cols>
    <col min="7" max="7" width="6.5703125" customWidth="1"/>
    <col min="8" max="8" width="87.140625" customWidth="1"/>
    <col min="9" max="9" width="14.140625" bestFit="1" customWidth="1"/>
    <col min="10" max="10" width="15.7109375" bestFit="1" customWidth="1"/>
    <col min="11" max="11" width="16.85546875" customWidth="1"/>
    <col min="12" max="12" width="7.5703125" customWidth="1"/>
    <col min="13" max="13" width="10.140625" customWidth="1"/>
    <col min="14" max="14" width="10" customWidth="1"/>
    <col min="15" max="15" width="11.7109375" bestFit="1" customWidth="1"/>
    <col min="16" max="16" width="42.140625" customWidth="1"/>
    <col min="17" max="17" width="5.5703125" bestFit="1" customWidth="1"/>
    <col min="18" max="24" width="9.140625" customWidth="1"/>
    <col min="26" max="26" width="14.140625" bestFit="1" customWidth="1"/>
  </cols>
  <sheetData>
    <row r="5" spans="8:9" x14ac:dyDescent="0.25">
      <c r="H5" t="s">
        <v>37</v>
      </c>
    </row>
    <row r="6" spans="8:9" x14ac:dyDescent="0.25">
      <c r="H6" s="16" t="s">
        <v>34</v>
      </c>
    </row>
    <row r="7" spans="8:9" ht="15.75" x14ac:dyDescent="0.25">
      <c r="H7" s="17" t="s">
        <v>35</v>
      </c>
    </row>
    <row r="8" spans="8:9" ht="15.75" x14ac:dyDescent="0.25">
      <c r="H8" s="18" t="s">
        <v>36</v>
      </c>
    </row>
    <row r="9" spans="8:9" x14ac:dyDescent="0.25">
      <c r="H9" s="11"/>
    </row>
    <row r="10" spans="8:9" x14ac:dyDescent="0.25">
      <c r="H10" s="11"/>
    </row>
    <row r="11" spans="8:9" x14ac:dyDescent="0.25">
      <c r="H11" s="11"/>
    </row>
    <row r="12" spans="8:9" x14ac:dyDescent="0.25">
      <c r="H12" s="11"/>
      <c r="I12" s="6"/>
    </row>
    <row r="13" spans="8:9" x14ac:dyDescent="0.25">
      <c r="H13" s="11"/>
    </row>
    <row r="14" spans="8:9" x14ac:dyDescent="0.25">
      <c r="H14" s="11"/>
    </row>
    <row r="15" spans="8:9" x14ac:dyDescent="0.25">
      <c r="H15" s="11"/>
    </row>
    <row r="16" spans="8:9" x14ac:dyDescent="0.25">
      <c r="H16" s="11"/>
    </row>
    <row r="17" spans="8:26" x14ac:dyDescent="0.25">
      <c r="H17" s="11"/>
    </row>
    <row r="18" spans="8:26" x14ac:dyDescent="0.25">
      <c r="H18" s="11"/>
    </row>
    <row r="19" spans="8:26" x14ac:dyDescent="0.25">
      <c r="H19" s="11"/>
      <c r="K19" s="2"/>
      <c r="L19" s="2"/>
      <c r="M19" s="2"/>
      <c r="N19" s="2"/>
      <c r="O19" s="2"/>
      <c r="P19" s="2"/>
      <c r="Q19" s="2"/>
      <c r="T19" s="3"/>
      <c r="U19" s="3"/>
      <c r="V19" s="3"/>
      <c r="W19" s="4"/>
      <c r="X19" s="3"/>
      <c r="Y19" s="3"/>
      <c r="Z19" s="3"/>
    </row>
    <row r="20" spans="8:26" x14ac:dyDescent="0.25">
      <c r="H20" s="11"/>
      <c r="K20" s="2"/>
      <c r="L20" s="2"/>
      <c r="M20" s="2"/>
      <c r="N20" s="2"/>
      <c r="O20" s="2"/>
      <c r="P20" s="2"/>
      <c r="Q20" s="2"/>
      <c r="T20" s="3"/>
      <c r="U20" s="3"/>
      <c r="V20" s="3"/>
      <c r="W20" s="4"/>
      <c r="X20" s="3"/>
      <c r="Y20" s="3"/>
      <c r="Z20" s="3"/>
    </row>
    <row r="21" spans="8:26" x14ac:dyDescent="0.25">
      <c r="H21" s="11"/>
      <c r="K21" s="2"/>
      <c r="L21" s="2"/>
      <c r="M21" s="2"/>
      <c r="N21" s="2"/>
      <c r="O21" s="2"/>
      <c r="P21" s="2"/>
      <c r="Q21" s="2"/>
      <c r="T21" s="3"/>
      <c r="U21" s="3"/>
      <c r="V21" s="3"/>
      <c r="W21" s="4"/>
      <c r="X21" s="3"/>
      <c r="Y21" s="3"/>
      <c r="Z21" s="3"/>
    </row>
    <row r="22" spans="8:26" x14ac:dyDescent="0.25">
      <c r="H22" s="11"/>
      <c r="K22" s="2"/>
      <c r="L22" s="2"/>
      <c r="M22" s="2"/>
      <c r="N22" s="2"/>
      <c r="O22" s="2"/>
      <c r="P22" s="2"/>
      <c r="Q22" s="2"/>
      <c r="T22" s="3"/>
      <c r="U22" s="3"/>
      <c r="V22" s="3"/>
      <c r="W22" s="4"/>
      <c r="X22" s="3"/>
      <c r="Y22" s="3"/>
      <c r="Z22" s="3"/>
    </row>
    <row r="23" spans="8:26" x14ac:dyDescent="0.25">
      <c r="H23" s="11"/>
      <c r="T23" s="3"/>
      <c r="U23" s="3"/>
      <c r="V23" s="3"/>
      <c r="W23" s="4"/>
      <c r="X23" s="3"/>
      <c r="Y23" s="3"/>
      <c r="Z23" s="3"/>
    </row>
    <row r="24" spans="8:26" x14ac:dyDescent="0.25">
      <c r="H24" s="11"/>
    </row>
    <row r="25" spans="8:26" x14ac:dyDescent="0.25">
      <c r="H25" s="11"/>
    </row>
    <row r="26" spans="8:26" x14ac:dyDescent="0.25">
      <c r="H26" s="11"/>
    </row>
    <row r="27" spans="8:26" x14ac:dyDescent="0.25">
      <c r="H27" s="11"/>
    </row>
    <row r="28" spans="8:26" x14ac:dyDescent="0.25">
      <c r="H28" s="11"/>
    </row>
    <row r="29" spans="8:26" x14ac:dyDescent="0.25">
      <c r="H29" s="11"/>
    </row>
    <row r="30" spans="8:26" x14ac:dyDescent="0.25">
      <c r="H30" s="11"/>
    </row>
    <row r="31" spans="8:26" x14ac:dyDescent="0.25">
      <c r="H31" s="11"/>
    </row>
    <row r="32" spans="8:26" x14ac:dyDescent="0.25">
      <c r="H32" s="11"/>
    </row>
    <row r="33" spans="8:8" x14ac:dyDescent="0.25">
      <c r="H33" s="11"/>
    </row>
    <row r="34" spans="8:8" x14ac:dyDescent="0.25">
      <c r="H34" s="11"/>
    </row>
    <row r="35" spans="8:8" x14ac:dyDescent="0.25">
      <c r="H35" s="11"/>
    </row>
    <row r="36" spans="8:8" x14ac:dyDescent="0.25">
      <c r="H36" s="11"/>
    </row>
    <row r="37" spans="8:8" x14ac:dyDescent="0.25">
      <c r="H37" s="11"/>
    </row>
    <row r="38" spans="8:8" x14ac:dyDescent="0.25">
      <c r="H38" s="11"/>
    </row>
    <row r="39" spans="8:8" x14ac:dyDescent="0.25">
      <c r="H39" s="11"/>
    </row>
    <row r="40" spans="8:8" x14ac:dyDescent="0.25">
      <c r="H40" s="11"/>
    </row>
    <row r="41" spans="8:8" x14ac:dyDescent="0.25">
      <c r="H41" s="11"/>
    </row>
    <row r="42" spans="8:8" x14ac:dyDescent="0.25">
      <c r="H42" s="11"/>
    </row>
    <row r="43" spans="8:8" x14ac:dyDescent="0.25">
      <c r="H43" s="11"/>
    </row>
    <row r="44" spans="8:8" x14ac:dyDescent="0.25">
      <c r="H44" s="11"/>
    </row>
    <row r="45" spans="8:8" x14ac:dyDescent="0.25">
      <c r="H45" s="11"/>
    </row>
    <row r="46" spans="8:8" x14ac:dyDescent="0.25">
      <c r="H46" s="11"/>
    </row>
    <row r="47" spans="8:8" x14ac:dyDescent="0.25">
      <c r="H47" s="1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enerateRapport">
                <anchor moveWithCells="1" sizeWithCells="1">
                  <from>
                    <xdr:col>7</xdr:col>
                    <xdr:colOff>2095500</xdr:colOff>
                    <xdr:row>0</xdr:row>
                    <xdr:rowOff>152400</xdr:rowOff>
                  </from>
                  <to>
                    <xdr:col>7</xdr:col>
                    <xdr:colOff>3848100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ffacerRapport">
                <anchor moveWithCells="1" sizeWithCells="1">
                  <from>
                    <xdr:col>8</xdr:col>
                    <xdr:colOff>19050</xdr:colOff>
                    <xdr:row>0</xdr:row>
                    <xdr:rowOff>66675</xdr:rowOff>
                  </from>
                  <to>
                    <xdr:col>9</xdr:col>
                    <xdr:colOff>542925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9BCE-B5E1-4519-B7F4-FA9D69437FD8}">
  <sheetPr codeName="Sheet1"/>
  <dimension ref="G6:U10"/>
  <sheetViews>
    <sheetView showGridLines="0" topLeftCell="J2" workbookViewId="0">
      <selection activeCell="M9" sqref="M9"/>
    </sheetView>
  </sheetViews>
  <sheetFormatPr defaultRowHeight="15" x14ac:dyDescent="0.25"/>
  <cols>
    <col min="7" max="7" width="11.140625" customWidth="1"/>
    <col min="9" max="9" width="11.5703125" customWidth="1"/>
    <col min="13" max="13" width="12.28515625" style="19" bestFit="1" customWidth="1"/>
    <col min="14" max="14" width="14.140625" customWidth="1"/>
    <col min="15" max="15" width="10" customWidth="1"/>
    <col min="17" max="17" width="13.5703125" style="10" customWidth="1"/>
    <col min="18" max="18" width="16.28515625" customWidth="1"/>
    <col min="19" max="19" width="15.140625" customWidth="1"/>
    <col min="20" max="20" width="12.7109375" customWidth="1"/>
    <col min="21" max="21" width="16.28515625" customWidth="1"/>
  </cols>
  <sheetData>
    <row r="6" spans="7:21" x14ac:dyDescent="0.25">
      <c r="G6" t="s">
        <v>0</v>
      </c>
      <c r="H6" t="s">
        <v>1</v>
      </c>
      <c r="I6" t="s">
        <v>2</v>
      </c>
      <c r="J6" t="s">
        <v>3</v>
      </c>
      <c r="K6" t="s">
        <v>4</v>
      </c>
      <c r="L6" t="s">
        <v>5</v>
      </c>
      <c r="M6" s="19" t="s">
        <v>6</v>
      </c>
      <c r="N6" t="s">
        <v>7</v>
      </c>
      <c r="O6" t="s">
        <v>8</v>
      </c>
      <c r="P6" t="s">
        <v>9</v>
      </c>
      <c r="Q6" s="10" t="s">
        <v>10</v>
      </c>
      <c r="R6" t="s">
        <v>11</v>
      </c>
      <c r="S6" t="s">
        <v>12</v>
      </c>
      <c r="T6" t="s">
        <v>13</v>
      </c>
      <c r="U6" t="s">
        <v>14</v>
      </c>
    </row>
    <row r="7" spans="7:21" x14ac:dyDescent="0.25">
      <c r="H7" t="s">
        <v>39</v>
      </c>
      <c r="I7" s="8">
        <v>44153</v>
      </c>
      <c r="J7" t="s">
        <v>23</v>
      </c>
      <c r="K7" t="s">
        <v>15</v>
      </c>
      <c r="L7">
        <v>3550</v>
      </c>
      <c r="M7" s="19">
        <v>28.933333300000001</v>
      </c>
      <c r="N7" t="s">
        <v>19</v>
      </c>
      <c r="O7">
        <v>450</v>
      </c>
      <c r="P7" t="s">
        <v>38</v>
      </c>
      <c r="Q7" s="10">
        <v>43933</v>
      </c>
      <c r="R7" t="s">
        <v>32</v>
      </c>
      <c r="S7" t="s">
        <v>33</v>
      </c>
      <c r="T7" s="8">
        <v>43933</v>
      </c>
      <c r="U7" s="8">
        <v>43933</v>
      </c>
    </row>
    <row r="8" spans="7:21" x14ac:dyDescent="0.25">
      <c r="H8" t="s">
        <v>39</v>
      </c>
      <c r="I8" s="8">
        <v>44153</v>
      </c>
      <c r="J8" t="s">
        <v>23</v>
      </c>
      <c r="K8" t="s">
        <v>15</v>
      </c>
      <c r="L8">
        <v>10650</v>
      </c>
      <c r="M8" s="19">
        <v>92.5</v>
      </c>
      <c r="N8" t="s">
        <v>20</v>
      </c>
      <c r="O8">
        <v>310</v>
      </c>
      <c r="P8" t="s">
        <v>38</v>
      </c>
      <c r="Q8" s="10">
        <v>43933</v>
      </c>
      <c r="R8" t="s">
        <v>32</v>
      </c>
      <c r="S8" t="s">
        <v>33</v>
      </c>
      <c r="T8" s="8">
        <v>43933</v>
      </c>
      <c r="U8">
        <v>43931</v>
      </c>
    </row>
    <row r="9" spans="7:21" x14ac:dyDescent="0.25">
      <c r="H9" t="s">
        <v>40</v>
      </c>
      <c r="I9" s="8">
        <v>44153</v>
      </c>
      <c r="J9" t="s">
        <v>22</v>
      </c>
      <c r="M9" s="19">
        <v>10523</v>
      </c>
      <c r="N9" t="s">
        <v>20</v>
      </c>
      <c r="O9">
        <v>118</v>
      </c>
      <c r="P9" t="s">
        <v>38</v>
      </c>
      <c r="Q9" s="10">
        <v>44166</v>
      </c>
      <c r="R9" t="s">
        <v>32</v>
      </c>
      <c r="S9" t="s">
        <v>33</v>
      </c>
      <c r="U9" s="8">
        <v>44166</v>
      </c>
    </row>
    <row r="10" spans="7:21" x14ac:dyDescent="0.25">
      <c r="I10" s="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0569-3725-4CF9-83BD-1460C3A4B10E}">
  <sheetPr codeName="Sheet2"/>
  <dimension ref="E1:V13"/>
  <sheetViews>
    <sheetView tabSelected="1" topLeftCell="F1" workbookViewId="0">
      <selection activeCell="F10" sqref="F10"/>
    </sheetView>
  </sheetViews>
  <sheetFormatPr defaultRowHeight="15" x14ac:dyDescent="0.25"/>
  <cols>
    <col min="6" max="6" width="24.7109375" customWidth="1"/>
    <col min="17" max="17" width="16.7109375" customWidth="1"/>
    <col min="18" max="18" width="23.7109375" customWidth="1"/>
  </cols>
  <sheetData>
    <row r="1" spans="5:22" ht="15.75" thickBot="1" x14ac:dyDescent="0.3">
      <c r="E1" t="s">
        <v>24</v>
      </c>
      <c r="F1" t="s">
        <v>19</v>
      </c>
      <c r="G1" t="s">
        <v>29</v>
      </c>
      <c r="I1" s="1">
        <v>43983</v>
      </c>
      <c r="L1" s="5" t="s">
        <v>1</v>
      </c>
      <c r="M1" s="5" t="s">
        <v>0</v>
      </c>
      <c r="Q1" s="7" t="s">
        <v>11</v>
      </c>
      <c r="R1" s="9" t="s">
        <v>32</v>
      </c>
      <c r="U1" t="s">
        <v>31</v>
      </c>
      <c r="V1" t="s">
        <v>65</v>
      </c>
    </row>
    <row r="2" spans="5:22" ht="16.5" thickTop="1" thickBot="1" x14ac:dyDescent="0.3">
      <c r="E2" t="s">
        <v>25</v>
      </c>
      <c r="F2" t="s">
        <v>16</v>
      </c>
      <c r="G2" t="s">
        <v>30</v>
      </c>
      <c r="I2" s="1">
        <v>44013</v>
      </c>
      <c r="L2" t="s">
        <v>17</v>
      </c>
      <c r="M2" t="s">
        <v>24</v>
      </c>
      <c r="Q2" s="7" t="s">
        <v>12</v>
      </c>
      <c r="R2" s="9" t="s">
        <v>33</v>
      </c>
      <c r="U2" s="13" t="s">
        <v>42</v>
      </c>
      <c r="V2" s="12" t="s">
        <v>41</v>
      </c>
    </row>
    <row r="3" spans="5:22" ht="16.5" thickTop="1" thickBot="1" x14ac:dyDescent="0.3">
      <c r="E3" t="s">
        <v>26</v>
      </c>
      <c r="F3" t="s">
        <v>21</v>
      </c>
      <c r="I3" s="1">
        <v>44044</v>
      </c>
      <c r="L3" t="s">
        <v>18</v>
      </c>
      <c r="M3" t="s">
        <v>25</v>
      </c>
      <c r="Q3" t="s">
        <v>2</v>
      </c>
      <c r="R3" s="8">
        <f ca="1">TODAY()</f>
        <v>46006</v>
      </c>
      <c r="U3" s="15" t="s">
        <v>44</v>
      </c>
      <c r="V3" s="14" t="s">
        <v>43</v>
      </c>
    </row>
    <row r="4" spans="5:22" ht="15.75" thickBot="1" x14ac:dyDescent="0.3">
      <c r="E4" t="s">
        <v>27</v>
      </c>
      <c r="F4" t="s">
        <v>20</v>
      </c>
      <c r="I4" s="1">
        <v>44075</v>
      </c>
      <c r="U4" s="13" t="s">
        <v>46</v>
      </c>
      <c r="V4" s="12" t="s">
        <v>45</v>
      </c>
    </row>
    <row r="5" spans="5:22" ht="15.75" thickBot="1" x14ac:dyDescent="0.3">
      <c r="E5" t="s">
        <v>28</v>
      </c>
      <c r="I5" s="1">
        <v>44105</v>
      </c>
      <c r="U5" s="15" t="s">
        <v>48</v>
      </c>
      <c r="V5" s="14" t="s">
        <v>47</v>
      </c>
    </row>
    <row r="6" spans="5:22" ht="15.75" thickBot="1" x14ac:dyDescent="0.3">
      <c r="I6" s="1">
        <v>44136</v>
      </c>
      <c r="U6" s="13" t="s">
        <v>50</v>
      </c>
      <c r="V6" s="12" t="s">
        <v>49</v>
      </c>
    </row>
    <row r="7" spans="5:22" ht="15.75" thickBot="1" x14ac:dyDescent="0.3">
      <c r="I7" s="1">
        <v>44166</v>
      </c>
      <c r="U7" s="15" t="s">
        <v>52</v>
      </c>
      <c r="V7" s="14" t="s">
        <v>51</v>
      </c>
    </row>
    <row r="8" spans="5:22" ht="15.75" thickBot="1" x14ac:dyDescent="0.3">
      <c r="U8" s="13" t="s">
        <v>54</v>
      </c>
      <c r="V8" s="12" t="s">
        <v>53</v>
      </c>
    </row>
    <row r="9" spans="5:22" ht="15.75" thickBot="1" x14ac:dyDescent="0.3">
      <c r="U9" s="15" t="s">
        <v>56</v>
      </c>
      <c r="V9" s="14" t="s">
        <v>55</v>
      </c>
    </row>
    <row r="10" spans="5:22" ht="15.75" thickBot="1" x14ac:dyDescent="0.3">
      <c r="U10" s="13" t="s">
        <v>58</v>
      </c>
      <c r="V10" s="12" t="s">
        <v>57</v>
      </c>
    </row>
    <row r="11" spans="5:22" ht="15.75" thickBot="1" x14ac:dyDescent="0.3">
      <c r="U11" s="15" t="s">
        <v>60</v>
      </c>
      <c r="V11" s="14" t="s">
        <v>59</v>
      </c>
    </row>
    <row r="12" spans="5:22" ht="15.75" thickBot="1" x14ac:dyDescent="0.3">
      <c r="U12" s="13" t="s">
        <v>62</v>
      </c>
      <c r="V12" s="12" t="s">
        <v>61</v>
      </c>
    </row>
    <row r="13" spans="5:22" ht="15.75" thickBot="1" x14ac:dyDescent="0.3">
      <c r="U13" s="15" t="s">
        <v>64</v>
      </c>
      <c r="V13" s="14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TradeInput</vt:lpstr>
      <vt:lpstr>Output</vt:lpstr>
      <vt:lpstr>setting</vt:lpstr>
      <vt:lpstr>constant</vt:lpstr>
      <vt:lpstr>data_output</vt:lpstr>
      <vt:lpstr>TradeInput!email</vt:lpstr>
      <vt:lpstr>future_mat</vt:lpstr>
      <vt:lpstr>future_maturity</vt:lpstr>
      <vt:lpstr>TradeInput!input_effacer</vt:lpstr>
      <vt:lpstr>setting_book</vt:lpstr>
      <vt:lpstr>setting_trader</vt:lpstr>
      <vt:lpstr>TradeInput!tbl_input</vt:lpstr>
      <vt:lpstr>tbl_output</vt:lpstr>
      <vt:lpstr>TradeInput!Title</vt:lpstr>
      <vt:lpstr>trade_output</vt:lpstr>
      <vt:lpstr>trade_output_content</vt:lpstr>
      <vt:lpstr>trade_table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Cohen, Anthony</dc:creator>
  <cp:lastModifiedBy>7618</cp:lastModifiedBy>
  <dcterms:created xsi:type="dcterms:W3CDTF">2020-06-12T15:01:58Z</dcterms:created>
  <dcterms:modified xsi:type="dcterms:W3CDTF">2025-12-15T15:18:15Z</dcterms:modified>
</cp:coreProperties>
</file>