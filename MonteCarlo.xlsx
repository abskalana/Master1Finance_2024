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3695\Desktop\Cours VBA Master 1\2026\"/>
    </mc:Choice>
  </mc:AlternateContent>
  <xr:revisionPtr revIDLastSave="0" documentId="13_ncr:1_{78AD76F1-63F3-4688-BBD9-6F3BB5D23E1E}" xr6:coauthVersionLast="47" xr6:coauthVersionMax="47" xr10:uidLastSave="{00000000-0000-0000-0000-000000000000}"/>
  <bookViews>
    <workbookView xWindow="-120" yWindow="-120" windowWidth="20730" windowHeight="11040" xr2:uid="{D11080CB-A2C2-4D90-89BB-BAE9CEE87C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 s="1"/>
  <c r="D1446" i="1"/>
  <c r="E1446" i="1" s="1"/>
  <c r="D1445" i="1"/>
  <c r="E1445" i="1" s="1"/>
  <c r="D1444" i="1"/>
  <c r="E1444" i="1" s="1"/>
  <c r="D1443" i="1"/>
  <c r="E1443" i="1" s="1"/>
  <c r="D1442" i="1"/>
  <c r="E1442" i="1" s="1"/>
  <c r="D1441" i="1"/>
  <c r="E1441" i="1" s="1"/>
  <c r="D1440" i="1"/>
  <c r="E1440" i="1" s="1"/>
  <c r="D1439" i="1"/>
  <c r="E1439" i="1" s="1"/>
  <c r="D1438" i="1"/>
  <c r="E1438" i="1" s="1"/>
  <c r="D1437" i="1"/>
  <c r="E1437" i="1" s="1"/>
  <c r="D1436" i="1"/>
  <c r="E1436" i="1" s="1"/>
  <c r="D1435" i="1"/>
  <c r="E1435" i="1" s="1"/>
  <c r="D1434" i="1"/>
  <c r="E1434" i="1" s="1"/>
  <c r="D1433" i="1"/>
  <c r="E1433" i="1" s="1"/>
  <c r="D1432" i="1"/>
  <c r="E1432" i="1" s="1"/>
  <c r="D1431" i="1"/>
  <c r="E1431" i="1" s="1"/>
  <c r="D1430" i="1"/>
  <c r="E1430" i="1" s="1"/>
  <c r="D1429" i="1"/>
  <c r="E1429" i="1" s="1"/>
  <c r="D1428" i="1"/>
  <c r="E1428" i="1" s="1"/>
  <c r="D1427" i="1"/>
  <c r="E1427" i="1" s="1"/>
  <c r="D1426" i="1"/>
  <c r="E1426" i="1" s="1"/>
  <c r="D1425" i="1"/>
  <c r="E1425" i="1" s="1"/>
  <c r="D1424" i="1"/>
  <c r="E1424" i="1" s="1"/>
  <c r="D1423" i="1"/>
  <c r="E1423" i="1" s="1"/>
  <c r="D1422" i="1"/>
  <c r="E1422" i="1" s="1"/>
  <c r="D1421" i="1"/>
  <c r="E1421" i="1" s="1"/>
  <c r="D1420" i="1"/>
  <c r="E1420" i="1" s="1"/>
  <c r="D1419" i="1"/>
  <c r="E1419" i="1" s="1"/>
  <c r="D1418" i="1"/>
  <c r="E1418" i="1" s="1"/>
  <c r="D1417" i="1"/>
  <c r="E1417" i="1" s="1"/>
  <c r="D1416" i="1"/>
  <c r="E1416" i="1" s="1"/>
  <c r="D1415" i="1"/>
  <c r="E1415" i="1" s="1"/>
  <c r="D1414" i="1"/>
  <c r="E1414" i="1" s="1"/>
  <c r="D1413" i="1"/>
  <c r="E1413" i="1" s="1"/>
  <c r="D1412" i="1"/>
  <c r="E1412" i="1" s="1"/>
  <c r="D1411" i="1"/>
  <c r="E1411" i="1" s="1"/>
  <c r="D1410" i="1"/>
  <c r="E1410" i="1" s="1"/>
  <c r="D1409" i="1"/>
  <c r="E1409" i="1" s="1"/>
  <c r="D1408" i="1"/>
  <c r="E1408" i="1" s="1"/>
  <c r="D1407" i="1"/>
  <c r="E1407" i="1" s="1"/>
  <c r="D1406" i="1"/>
  <c r="E1406" i="1" s="1"/>
  <c r="D1405" i="1"/>
  <c r="E1405" i="1" s="1"/>
  <c r="D1404" i="1"/>
  <c r="E1404" i="1" s="1"/>
  <c r="D1403" i="1"/>
  <c r="E1403" i="1" s="1"/>
  <c r="D1402" i="1"/>
  <c r="E1402" i="1" s="1"/>
  <c r="D1401" i="1"/>
  <c r="E1401" i="1" s="1"/>
  <c r="D1400" i="1"/>
  <c r="E1400" i="1" s="1"/>
  <c r="D1399" i="1"/>
  <c r="E1399" i="1" s="1"/>
  <c r="D1398" i="1"/>
  <c r="E1398" i="1" s="1"/>
  <c r="D1397" i="1"/>
  <c r="E1397" i="1" s="1"/>
  <c r="D1396" i="1"/>
  <c r="E1396" i="1" s="1"/>
  <c r="D1395" i="1"/>
  <c r="E1395" i="1" s="1"/>
  <c r="D1394" i="1"/>
  <c r="E1394" i="1" s="1"/>
  <c r="D1393" i="1"/>
  <c r="E1393" i="1" s="1"/>
  <c r="D1392" i="1"/>
  <c r="E1392" i="1" s="1"/>
  <c r="D1391" i="1"/>
  <c r="E1391" i="1" s="1"/>
  <c r="D1390" i="1"/>
  <c r="E1390" i="1" s="1"/>
  <c r="D1389" i="1"/>
  <c r="E1389" i="1" s="1"/>
  <c r="D1388" i="1"/>
  <c r="E1388" i="1" s="1"/>
  <c r="D1387" i="1"/>
  <c r="E1387" i="1" s="1"/>
  <c r="D1386" i="1"/>
  <c r="E1386" i="1" s="1"/>
  <c r="D1385" i="1"/>
  <c r="E1385" i="1" s="1"/>
  <c r="D1384" i="1"/>
  <c r="E1384" i="1" s="1"/>
  <c r="D1383" i="1"/>
  <c r="E1383" i="1" s="1"/>
  <c r="D1382" i="1"/>
  <c r="E1382" i="1" s="1"/>
  <c r="D1381" i="1"/>
  <c r="E1381" i="1" s="1"/>
  <c r="D1380" i="1"/>
  <c r="E1380" i="1" s="1"/>
  <c r="D1379" i="1"/>
  <c r="E1379" i="1" s="1"/>
  <c r="D1378" i="1"/>
  <c r="E1378" i="1" s="1"/>
  <c r="D1377" i="1"/>
  <c r="E1377" i="1" s="1"/>
  <c r="D1376" i="1"/>
  <c r="E1376" i="1" s="1"/>
  <c r="D1375" i="1"/>
  <c r="E1375" i="1" s="1"/>
  <c r="D1374" i="1"/>
  <c r="E1374" i="1" s="1"/>
  <c r="D1373" i="1"/>
  <c r="E1373" i="1" s="1"/>
  <c r="D1372" i="1"/>
  <c r="E1372" i="1" s="1"/>
  <c r="D1371" i="1"/>
  <c r="E1371" i="1" s="1"/>
  <c r="D1370" i="1"/>
  <c r="E1370" i="1" s="1"/>
  <c r="D1369" i="1"/>
  <c r="E1369" i="1" s="1"/>
  <c r="D1368" i="1"/>
  <c r="E1368" i="1" s="1"/>
  <c r="D1367" i="1"/>
  <c r="E1367" i="1" s="1"/>
  <c r="D1366" i="1"/>
  <c r="E1366" i="1" s="1"/>
  <c r="D1365" i="1"/>
  <c r="E1365" i="1" s="1"/>
  <c r="D1364" i="1"/>
  <c r="E1364" i="1" s="1"/>
  <c r="D1363" i="1"/>
  <c r="E1363" i="1" s="1"/>
  <c r="D1362" i="1"/>
  <c r="E1362" i="1" s="1"/>
  <c r="D1361" i="1"/>
  <c r="E1361" i="1" s="1"/>
  <c r="D1360" i="1"/>
  <c r="E1360" i="1" s="1"/>
  <c r="D1359" i="1"/>
  <c r="E1359" i="1" s="1"/>
  <c r="D1358" i="1"/>
  <c r="E1358" i="1" s="1"/>
  <c r="D1357" i="1"/>
  <c r="E1357" i="1" s="1"/>
  <c r="D1356" i="1"/>
  <c r="E1356" i="1" s="1"/>
  <c r="D1355" i="1"/>
  <c r="E1355" i="1" s="1"/>
  <c r="D1354" i="1"/>
  <c r="E1354" i="1" s="1"/>
  <c r="D1353" i="1"/>
  <c r="E1353" i="1" s="1"/>
  <c r="D1352" i="1"/>
  <c r="E1352" i="1" s="1"/>
  <c r="D1351" i="1"/>
  <c r="E1351" i="1" s="1"/>
  <c r="D1350" i="1"/>
  <c r="E1350" i="1" s="1"/>
  <c r="D1349" i="1"/>
  <c r="E1349" i="1" s="1"/>
  <c r="D1348" i="1"/>
  <c r="E1348" i="1" s="1"/>
  <c r="D1347" i="1"/>
  <c r="E1347" i="1" s="1"/>
  <c r="D1346" i="1"/>
  <c r="E1346" i="1" s="1"/>
  <c r="D1345" i="1"/>
  <c r="E1345" i="1" s="1"/>
  <c r="D1344" i="1"/>
  <c r="E1344" i="1" s="1"/>
  <c r="D1343" i="1"/>
  <c r="E1343" i="1" s="1"/>
  <c r="D1342" i="1"/>
  <c r="E1342" i="1" s="1"/>
  <c r="D1341" i="1"/>
  <c r="E1341" i="1" s="1"/>
  <c r="D1340" i="1"/>
  <c r="E1340" i="1" s="1"/>
  <c r="D1339" i="1"/>
  <c r="E1339" i="1" s="1"/>
  <c r="D1338" i="1"/>
  <c r="E1338" i="1" s="1"/>
  <c r="D1337" i="1"/>
  <c r="E1337" i="1" s="1"/>
  <c r="D1336" i="1"/>
  <c r="E1336" i="1" s="1"/>
  <c r="D1335" i="1"/>
  <c r="E1335" i="1" s="1"/>
  <c r="D1334" i="1"/>
  <c r="E1334" i="1" s="1"/>
  <c r="D1333" i="1"/>
  <c r="E1333" i="1" s="1"/>
  <c r="D1332" i="1"/>
  <c r="E1332" i="1" s="1"/>
  <c r="D1331" i="1"/>
  <c r="E1331" i="1" s="1"/>
  <c r="D1330" i="1"/>
  <c r="E1330" i="1" s="1"/>
  <c r="D1329" i="1"/>
  <c r="E1329" i="1" s="1"/>
  <c r="D1328" i="1"/>
  <c r="E1328" i="1" s="1"/>
  <c r="D1327" i="1"/>
  <c r="E1327" i="1" s="1"/>
  <c r="D1326" i="1"/>
  <c r="E1326" i="1" s="1"/>
  <c r="D1325" i="1"/>
  <c r="E1325" i="1" s="1"/>
  <c r="D1324" i="1"/>
  <c r="E1324" i="1" s="1"/>
  <c r="D1323" i="1"/>
  <c r="E1323" i="1" s="1"/>
  <c r="D1322" i="1"/>
  <c r="E1322" i="1" s="1"/>
  <c r="D1321" i="1"/>
  <c r="E1321" i="1" s="1"/>
  <c r="D1320" i="1"/>
  <c r="E1320" i="1" s="1"/>
  <c r="D1319" i="1"/>
  <c r="E1319" i="1" s="1"/>
  <c r="D1318" i="1"/>
  <c r="E1318" i="1" s="1"/>
  <c r="D1317" i="1"/>
  <c r="E1317" i="1" s="1"/>
  <c r="D1316" i="1"/>
  <c r="E1316" i="1" s="1"/>
  <c r="D1315" i="1"/>
  <c r="E1315" i="1" s="1"/>
  <c r="D1314" i="1"/>
  <c r="E1314" i="1" s="1"/>
  <c r="D1313" i="1"/>
  <c r="E1313" i="1" s="1"/>
  <c r="D1312" i="1"/>
  <c r="E1312" i="1" s="1"/>
  <c r="D1311" i="1"/>
  <c r="E1311" i="1" s="1"/>
  <c r="D1310" i="1"/>
  <c r="E1310" i="1" s="1"/>
  <c r="D1309" i="1"/>
  <c r="E1309" i="1" s="1"/>
  <c r="D1308" i="1"/>
  <c r="E1308" i="1" s="1"/>
  <c r="D1307" i="1"/>
  <c r="E1307" i="1" s="1"/>
  <c r="D1306" i="1"/>
  <c r="E1306" i="1" s="1"/>
  <c r="D1305" i="1"/>
  <c r="E1305" i="1" s="1"/>
  <c r="D1304" i="1"/>
  <c r="E1304" i="1" s="1"/>
  <c r="D1303" i="1"/>
  <c r="E1303" i="1" s="1"/>
  <c r="D1302" i="1"/>
  <c r="E1302" i="1" s="1"/>
  <c r="D1301" i="1"/>
  <c r="E1301" i="1" s="1"/>
  <c r="D1300" i="1"/>
  <c r="E1300" i="1" s="1"/>
  <c r="D1299" i="1"/>
  <c r="E1299" i="1" s="1"/>
  <c r="D1298" i="1"/>
  <c r="E1298" i="1" s="1"/>
  <c r="D1297" i="1"/>
  <c r="E1297" i="1" s="1"/>
  <c r="D1296" i="1"/>
  <c r="E1296" i="1" s="1"/>
  <c r="D1295" i="1"/>
  <c r="E1295" i="1" s="1"/>
  <c r="D1294" i="1"/>
  <c r="E1294" i="1" s="1"/>
  <c r="D1293" i="1"/>
  <c r="E1293" i="1" s="1"/>
  <c r="D1292" i="1"/>
  <c r="E1292" i="1" s="1"/>
  <c r="D1291" i="1"/>
  <c r="E1291" i="1" s="1"/>
  <c r="D1290" i="1"/>
  <c r="E1290" i="1" s="1"/>
  <c r="D1289" i="1"/>
  <c r="E1289" i="1" s="1"/>
  <c r="D1288" i="1"/>
  <c r="E1288" i="1" s="1"/>
  <c r="D1287" i="1"/>
  <c r="E1287" i="1" s="1"/>
  <c r="D1286" i="1"/>
  <c r="E1286" i="1" s="1"/>
  <c r="D1285" i="1"/>
  <c r="E1285" i="1" s="1"/>
  <c r="D1284" i="1"/>
  <c r="E1284" i="1" s="1"/>
  <c r="D1283" i="1"/>
  <c r="E1283" i="1" s="1"/>
  <c r="D1282" i="1"/>
  <c r="E1282" i="1" s="1"/>
  <c r="D1281" i="1"/>
  <c r="E1281" i="1" s="1"/>
  <c r="D1280" i="1"/>
  <c r="E1280" i="1" s="1"/>
  <c r="D1279" i="1"/>
  <c r="E1279" i="1" s="1"/>
  <c r="D1278" i="1"/>
  <c r="E1278" i="1" s="1"/>
  <c r="D1277" i="1"/>
  <c r="E1277" i="1" s="1"/>
  <c r="D1276" i="1"/>
  <c r="E1276" i="1" s="1"/>
  <c r="D1275" i="1"/>
  <c r="E1275" i="1" s="1"/>
  <c r="D1274" i="1"/>
  <c r="E1274" i="1" s="1"/>
  <c r="D1273" i="1"/>
  <c r="E1273" i="1" s="1"/>
  <c r="D1272" i="1"/>
  <c r="E1272" i="1" s="1"/>
  <c r="D1271" i="1"/>
  <c r="E1271" i="1" s="1"/>
  <c r="D1270" i="1"/>
  <c r="E1270" i="1" s="1"/>
  <c r="D1269" i="1"/>
  <c r="E1269" i="1" s="1"/>
  <c r="D1268" i="1"/>
  <c r="E1268" i="1" s="1"/>
  <c r="D1267" i="1"/>
  <c r="E1267" i="1" s="1"/>
  <c r="D1266" i="1"/>
  <c r="E1266" i="1" s="1"/>
  <c r="D1265" i="1"/>
  <c r="E1265" i="1" s="1"/>
  <c r="D1264" i="1"/>
  <c r="E1264" i="1" s="1"/>
  <c r="D1263" i="1"/>
  <c r="E1263" i="1" s="1"/>
  <c r="D1262" i="1"/>
  <c r="E1262" i="1" s="1"/>
  <c r="D1261" i="1"/>
  <c r="E1261" i="1" s="1"/>
  <c r="D1260" i="1"/>
  <c r="E1260" i="1" s="1"/>
  <c r="D1259" i="1"/>
  <c r="E1259" i="1" s="1"/>
  <c r="D1258" i="1"/>
  <c r="E1258" i="1" s="1"/>
  <c r="D1257" i="1"/>
  <c r="E1257" i="1" s="1"/>
  <c r="D1256" i="1"/>
  <c r="E1256" i="1" s="1"/>
  <c r="D1255" i="1"/>
  <c r="E1255" i="1" s="1"/>
  <c r="D1254" i="1"/>
  <c r="E1254" i="1" s="1"/>
  <c r="D1253" i="1"/>
  <c r="E1253" i="1" s="1"/>
  <c r="D1252" i="1"/>
  <c r="E1252" i="1" s="1"/>
  <c r="D1251" i="1"/>
  <c r="E1251" i="1" s="1"/>
  <c r="D1250" i="1"/>
  <c r="E1250" i="1" s="1"/>
  <c r="D1249" i="1"/>
  <c r="E1249" i="1" s="1"/>
  <c r="D1248" i="1"/>
  <c r="E1248" i="1" s="1"/>
  <c r="D1247" i="1"/>
  <c r="E1247" i="1" s="1"/>
  <c r="D1246" i="1"/>
  <c r="E1246" i="1" s="1"/>
  <c r="D1245" i="1"/>
  <c r="E1245" i="1" s="1"/>
  <c r="D1244" i="1"/>
  <c r="E1244" i="1" s="1"/>
  <c r="D1243" i="1"/>
  <c r="E1243" i="1" s="1"/>
  <c r="D1242" i="1"/>
  <c r="E1242" i="1" s="1"/>
  <c r="D1241" i="1"/>
  <c r="E1241" i="1" s="1"/>
  <c r="D1240" i="1"/>
  <c r="E1240" i="1" s="1"/>
  <c r="D1239" i="1"/>
  <c r="E1239" i="1" s="1"/>
  <c r="D1238" i="1"/>
  <c r="E1238" i="1" s="1"/>
  <c r="D1237" i="1"/>
  <c r="E1237" i="1" s="1"/>
  <c r="D1236" i="1"/>
  <c r="E1236" i="1" s="1"/>
  <c r="D1235" i="1"/>
  <c r="E1235" i="1" s="1"/>
  <c r="D1234" i="1"/>
  <c r="E1234" i="1" s="1"/>
  <c r="D1233" i="1"/>
  <c r="E1233" i="1" s="1"/>
  <c r="D1232" i="1"/>
  <c r="E1232" i="1" s="1"/>
  <c r="D1231" i="1"/>
  <c r="E1231" i="1" s="1"/>
  <c r="D1230" i="1"/>
  <c r="E1230" i="1" s="1"/>
  <c r="D1229" i="1"/>
  <c r="E1229" i="1" s="1"/>
  <c r="D1228" i="1"/>
  <c r="E1228" i="1" s="1"/>
  <c r="D1227" i="1"/>
  <c r="E1227" i="1" s="1"/>
  <c r="D1226" i="1"/>
  <c r="E1226" i="1" s="1"/>
  <c r="D1225" i="1"/>
  <c r="E1225" i="1" s="1"/>
  <c r="D1224" i="1"/>
  <c r="E1224" i="1" s="1"/>
  <c r="D1223" i="1"/>
  <c r="E1223" i="1" s="1"/>
  <c r="D1222" i="1"/>
  <c r="E1222" i="1" s="1"/>
  <c r="D1221" i="1"/>
  <c r="E1221" i="1" s="1"/>
  <c r="D1220" i="1"/>
  <c r="E1220" i="1" s="1"/>
  <c r="D1219" i="1"/>
  <c r="E1219" i="1" s="1"/>
  <c r="D1218" i="1"/>
  <c r="E1218" i="1" s="1"/>
  <c r="D1217" i="1"/>
  <c r="E1217" i="1" s="1"/>
  <c r="D1216" i="1"/>
  <c r="E1216" i="1" s="1"/>
  <c r="D1215" i="1"/>
  <c r="E1215" i="1" s="1"/>
  <c r="D1214" i="1"/>
  <c r="E1214" i="1" s="1"/>
  <c r="D1213" i="1"/>
  <c r="E1213" i="1" s="1"/>
  <c r="D1212" i="1"/>
  <c r="E1212" i="1" s="1"/>
  <c r="D1211" i="1"/>
  <c r="E1211" i="1" s="1"/>
  <c r="D1210" i="1"/>
  <c r="E1210" i="1" s="1"/>
  <c r="D1209" i="1"/>
  <c r="E1209" i="1" s="1"/>
  <c r="D1208" i="1"/>
  <c r="E1208" i="1" s="1"/>
  <c r="D1207" i="1"/>
  <c r="E1207" i="1" s="1"/>
  <c r="D1206" i="1"/>
  <c r="E1206" i="1" s="1"/>
  <c r="D1205" i="1"/>
  <c r="E1205" i="1" s="1"/>
  <c r="D1204" i="1"/>
  <c r="E1204" i="1" s="1"/>
  <c r="D1203" i="1"/>
  <c r="E1203" i="1" s="1"/>
  <c r="D1202" i="1"/>
  <c r="E1202" i="1" s="1"/>
  <c r="D1201" i="1"/>
  <c r="E1201" i="1" s="1"/>
  <c r="D1200" i="1"/>
  <c r="E1200" i="1" s="1"/>
  <c r="D1199" i="1"/>
  <c r="E1199" i="1" s="1"/>
  <c r="D1198" i="1"/>
  <c r="E1198" i="1" s="1"/>
  <c r="D1197" i="1"/>
  <c r="E1197" i="1" s="1"/>
  <c r="D1196" i="1"/>
  <c r="E1196" i="1" s="1"/>
  <c r="D1195" i="1"/>
  <c r="E1195" i="1" s="1"/>
  <c r="D1194" i="1"/>
  <c r="E1194" i="1" s="1"/>
  <c r="D1193" i="1"/>
  <c r="E1193" i="1" s="1"/>
  <c r="D1192" i="1"/>
  <c r="E1192" i="1" s="1"/>
  <c r="D1191" i="1"/>
  <c r="E1191" i="1" s="1"/>
  <c r="D1190" i="1"/>
  <c r="E1190" i="1" s="1"/>
  <c r="D1189" i="1"/>
  <c r="E1189" i="1" s="1"/>
  <c r="D1188" i="1"/>
  <c r="E1188" i="1" s="1"/>
  <c r="D1187" i="1"/>
  <c r="E1187" i="1" s="1"/>
  <c r="D1186" i="1"/>
  <c r="E1186" i="1" s="1"/>
  <c r="D1185" i="1"/>
  <c r="E1185" i="1" s="1"/>
  <c r="D1184" i="1"/>
  <c r="E1184" i="1" s="1"/>
  <c r="D1183" i="1"/>
  <c r="E1183" i="1" s="1"/>
  <c r="D1182" i="1"/>
  <c r="E1182" i="1" s="1"/>
  <c r="D1181" i="1"/>
  <c r="E1181" i="1" s="1"/>
  <c r="D1180" i="1"/>
  <c r="E1180" i="1" s="1"/>
  <c r="D1179" i="1"/>
  <c r="E1179" i="1" s="1"/>
  <c r="D1178" i="1"/>
  <c r="E1178" i="1" s="1"/>
  <c r="D1177" i="1"/>
  <c r="E1177" i="1" s="1"/>
  <c r="D1176" i="1"/>
  <c r="E1176" i="1" s="1"/>
  <c r="D1175" i="1"/>
  <c r="E1175" i="1" s="1"/>
  <c r="D1174" i="1"/>
  <c r="E1174" i="1" s="1"/>
  <c r="D1173" i="1"/>
  <c r="E1173" i="1" s="1"/>
  <c r="D1172" i="1"/>
  <c r="E1172" i="1" s="1"/>
  <c r="D1171" i="1"/>
  <c r="E1171" i="1" s="1"/>
  <c r="D1170" i="1"/>
  <c r="E1170" i="1" s="1"/>
  <c r="D1169" i="1"/>
  <c r="E1169" i="1" s="1"/>
  <c r="D1168" i="1"/>
  <c r="E1168" i="1" s="1"/>
  <c r="D1167" i="1"/>
  <c r="E1167" i="1" s="1"/>
  <c r="D1166" i="1"/>
  <c r="E1166" i="1" s="1"/>
  <c r="D1165" i="1"/>
  <c r="E1165" i="1" s="1"/>
  <c r="D1164" i="1"/>
  <c r="E1164" i="1" s="1"/>
  <c r="D1163" i="1"/>
  <c r="E1163" i="1" s="1"/>
  <c r="D1162" i="1"/>
  <c r="E1162" i="1" s="1"/>
  <c r="D1161" i="1"/>
  <c r="E1161" i="1" s="1"/>
  <c r="D1160" i="1"/>
  <c r="E1160" i="1" s="1"/>
  <c r="D1159" i="1"/>
  <c r="E1159" i="1" s="1"/>
  <c r="D1158" i="1"/>
  <c r="E1158" i="1" s="1"/>
  <c r="D1157" i="1"/>
  <c r="E1157" i="1" s="1"/>
  <c r="D1156" i="1"/>
  <c r="E1156" i="1" s="1"/>
  <c r="D1155" i="1"/>
  <c r="E1155" i="1" s="1"/>
  <c r="D1154" i="1"/>
  <c r="E1154" i="1" s="1"/>
  <c r="D1153" i="1"/>
  <c r="E1153" i="1" s="1"/>
  <c r="D1152" i="1"/>
  <c r="E1152" i="1" s="1"/>
  <c r="D1151" i="1"/>
  <c r="E1151" i="1" s="1"/>
  <c r="D1150" i="1"/>
  <c r="E1150" i="1" s="1"/>
  <c r="D1149" i="1"/>
  <c r="E1149" i="1" s="1"/>
  <c r="D1148" i="1"/>
  <c r="E1148" i="1" s="1"/>
  <c r="D1147" i="1"/>
  <c r="E1147" i="1" s="1"/>
  <c r="D1146" i="1"/>
  <c r="E1146" i="1" s="1"/>
  <c r="D1145" i="1"/>
  <c r="E1145" i="1" s="1"/>
  <c r="D1144" i="1"/>
  <c r="E1144" i="1" s="1"/>
  <c r="D1143" i="1"/>
  <c r="E1143" i="1" s="1"/>
  <c r="D1142" i="1"/>
  <c r="E1142" i="1" s="1"/>
  <c r="D1141" i="1"/>
  <c r="E1141" i="1" s="1"/>
  <c r="D1140" i="1"/>
  <c r="E1140" i="1" s="1"/>
  <c r="D1139" i="1"/>
  <c r="E1139" i="1" s="1"/>
  <c r="D1138" i="1"/>
  <c r="E1138" i="1" s="1"/>
  <c r="D1137" i="1"/>
  <c r="E1137" i="1" s="1"/>
  <c r="D1136" i="1"/>
  <c r="E1136" i="1" s="1"/>
  <c r="D1135" i="1"/>
  <c r="E1135" i="1" s="1"/>
  <c r="D1134" i="1"/>
  <c r="E1134" i="1" s="1"/>
  <c r="D1133" i="1"/>
  <c r="E1133" i="1" s="1"/>
  <c r="D1132" i="1"/>
  <c r="E1132" i="1" s="1"/>
  <c r="D1131" i="1"/>
  <c r="E1131" i="1" s="1"/>
  <c r="D1130" i="1"/>
  <c r="E1130" i="1" s="1"/>
  <c r="D1129" i="1"/>
  <c r="E1129" i="1" s="1"/>
  <c r="D1128" i="1"/>
  <c r="E1128" i="1" s="1"/>
  <c r="D1127" i="1"/>
  <c r="E1127" i="1" s="1"/>
  <c r="D1126" i="1"/>
  <c r="E1126" i="1" s="1"/>
  <c r="D1125" i="1"/>
  <c r="E1125" i="1" s="1"/>
  <c r="D1124" i="1"/>
  <c r="E1124" i="1" s="1"/>
  <c r="D1123" i="1"/>
  <c r="E1123" i="1" s="1"/>
  <c r="D1122" i="1"/>
  <c r="E1122" i="1" s="1"/>
  <c r="D1121" i="1"/>
  <c r="E1121" i="1" s="1"/>
  <c r="D1120" i="1"/>
  <c r="E1120" i="1" s="1"/>
  <c r="D1119" i="1"/>
  <c r="E1119" i="1" s="1"/>
  <c r="D1118" i="1"/>
  <c r="E1118" i="1" s="1"/>
  <c r="D1117" i="1"/>
  <c r="E1117" i="1" s="1"/>
  <c r="D1116" i="1"/>
  <c r="E1116" i="1" s="1"/>
  <c r="D1115" i="1"/>
  <c r="E1115" i="1" s="1"/>
  <c r="D1114" i="1"/>
  <c r="E1114" i="1" s="1"/>
  <c r="D1113" i="1"/>
  <c r="E1113" i="1" s="1"/>
  <c r="D1112" i="1"/>
  <c r="E1112" i="1" s="1"/>
  <c r="D1111" i="1"/>
  <c r="E1111" i="1" s="1"/>
  <c r="D1110" i="1"/>
  <c r="E1110" i="1" s="1"/>
  <c r="D1109" i="1"/>
  <c r="E1109" i="1" s="1"/>
  <c r="D1108" i="1"/>
  <c r="E1108" i="1" s="1"/>
  <c r="D1107" i="1"/>
  <c r="E1107" i="1" s="1"/>
  <c r="D1106" i="1"/>
  <c r="E1106" i="1" s="1"/>
  <c r="D1105" i="1"/>
  <c r="E1105" i="1" s="1"/>
  <c r="D1104" i="1"/>
  <c r="E1104" i="1" s="1"/>
  <c r="D1103" i="1"/>
  <c r="E1103" i="1" s="1"/>
  <c r="D1102" i="1"/>
  <c r="E1102" i="1" s="1"/>
  <c r="D1101" i="1"/>
  <c r="E1101" i="1" s="1"/>
  <c r="D1100" i="1"/>
  <c r="E1100" i="1" s="1"/>
  <c r="D1099" i="1"/>
  <c r="E1099" i="1" s="1"/>
  <c r="D1098" i="1"/>
  <c r="E1098" i="1" s="1"/>
  <c r="D1097" i="1"/>
  <c r="E1097" i="1" s="1"/>
  <c r="D1096" i="1"/>
  <c r="E1096" i="1" s="1"/>
  <c r="D1095" i="1"/>
  <c r="E1095" i="1" s="1"/>
  <c r="D1094" i="1"/>
  <c r="E1094" i="1" s="1"/>
  <c r="D1093" i="1"/>
  <c r="E1093" i="1" s="1"/>
  <c r="D1092" i="1"/>
  <c r="E1092" i="1" s="1"/>
  <c r="D1091" i="1"/>
  <c r="E1091" i="1" s="1"/>
  <c r="D1090" i="1"/>
  <c r="E1090" i="1" s="1"/>
  <c r="D1089" i="1"/>
  <c r="E1089" i="1" s="1"/>
  <c r="D1088" i="1"/>
  <c r="E1088" i="1" s="1"/>
  <c r="D1087" i="1"/>
  <c r="E1087" i="1" s="1"/>
  <c r="D1086" i="1"/>
  <c r="E1086" i="1" s="1"/>
  <c r="D1085" i="1"/>
  <c r="E1085" i="1" s="1"/>
  <c r="D1084" i="1"/>
  <c r="E1084" i="1" s="1"/>
  <c r="D1083" i="1"/>
  <c r="E1083" i="1" s="1"/>
  <c r="D1082" i="1"/>
  <c r="E1082" i="1" s="1"/>
  <c r="D1081" i="1"/>
  <c r="E1081" i="1" s="1"/>
  <c r="D1080" i="1"/>
  <c r="E1080" i="1" s="1"/>
  <c r="D1079" i="1"/>
  <c r="E1079" i="1" s="1"/>
  <c r="D1078" i="1"/>
  <c r="E1078" i="1" s="1"/>
  <c r="D1077" i="1"/>
  <c r="E1077" i="1" s="1"/>
  <c r="D1076" i="1"/>
  <c r="E1076" i="1" s="1"/>
  <c r="D1075" i="1"/>
  <c r="E1075" i="1" s="1"/>
  <c r="D1074" i="1"/>
  <c r="E1074" i="1" s="1"/>
  <c r="D1073" i="1"/>
  <c r="E1073" i="1" s="1"/>
  <c r="D1072" i="1"/>
  <c r="E1072" i="1" s="1"/>
  <c r="D1071" i="1"/>
  <c r="E1071" i="1" s="1"/>
  <c r="D1070" i="1"/>
  <c r="E1070" i="1" s="1"/>
  <c r="D1069" i="1"/>
  <c r="E1069" i="1" s="1"/>
  <c r="D1068" i="1"/>
  <c r="E1068" i="1" s="1"/>
  <c r="D1067" i="1"/>
  <c r="E1067" i="1" s="1"/>
  <c r="D1066" i="1"/>
  <c r="E1066" i="1" s="1"/>
  <c r="D1065" i="1"/>
  <c r="E1065" i="1" s="1"/>
  <c r="D1064" i="1"/>
  <c r="E1064" i="1" s="1"/>
  <c r="D1063" i="1"/>
  <c r="E1063" i="1" s="1"/>
  <c r="D1062" i="1"/>
  <c r="E1062" i="1" s="1"/>
  <c r="D1061" i="1"/>
  <c r="E1061" i="1" s="1"/>
  <c r="D1060" i="1"/>
  <c r="E1060" i="1" s="1"/>
  <c r="D1059" i="1"/>
  <c r="E1059" i="1" s="1"/>
  <c r="D1058" i="1"/>
  <c r="E1058" i="1" s="1"/>
  <c r="D1057" i="1"/>
  <c r="E1057" i="1" s="1"/>
  <c r="D1056" i="1"/>
  <c r="E1056" i="1" s="1"/>
  <c r="D1055" i="1"/>
  <c r="E1055" i="1" s="1"/>
  <c r="D1054" i="1"/>
  <c r="E1054" i="1" s="1"/>
  <c r="D1053" i="1"/>
  <c r="E1053" i="1" s="1"/>
  <c r="D1052" i="1"/>
  <c r="E1052" i="1" s="1"/>
  <c r="D1051" i="1"/>
  <c r="E1051" i="1" s="1"/>
  <c r="D1050" i="1"/>
  <c r="E1050" i="1" s="1"/>
  <c r="D1049" i="1"/>
  <c r="E1049" i="1" s="1"/>
  <c r="D1048" i="1"/>
  <c r="E1048" i="1" s="1"/>
  <c r="D1047" i="1"/>
  <c r="E1047" i="1" s="1"/>
  <c r="D1046" i="1"/>
  <c r="E1046" i="1" s="1"/>
  <c r="D1045" i="1"/>
  <c r="E1045" i="1" s="1"/>
  <c r="D1044" i="1"/>
  <c r="E1044" i="1" s="1"/>
  <c r="D1043" i="1"/>
  <c r="E1043" i="1" s="1"/>
  <c r="D1042" i="1"/>
  <c r="E1042" i="1" s="1"/>
  <c r="D1041" i="1"/>
  <c r="E1041" i="1" s="1"/>
  <c r="D1040" i="1"/>
  <c r="E1040" i="1" s="1"/>
  <c r="D1039" i="1"/>
  <c r="E1039" i="1" s="1"/>
  <c r="D1038" i="1"/>
  <c r="E1038" i="1" s="1"/>
  <c r="D1037" i="1"/>
  <c r="E1037" i="1" s="1"/>
  <c r="D1036" i="1"/>
  <c r="E1036" i="1" s="1"/>
  <c r="D1035" i="1"/>
  <c r="E1035" i="1" s="1"/>
  <c r="D1034" i="1"/>
  <c r="E1034" i="1" s="1"/>
  <c r="D1033" i="1"/>
  <c r="E1033" i="1" s="1"/>
  <c r="D1032" i="1"/>
  <c r="E1032" i="1" s="1"/>
  <c r="D1031" i="1"/>
  <c r="E1031" i="1" s="1"/>
  <c r="D1030" i="1"/>
  <c r="E1030" i="1" s="1"/>
  <c r="D1029" i="1"/>
  <c r="E1029" i="1" s="1"/>
  <c r="D1028" i="1"/>
  <c r="E1028" i="1" s="1"/>
  <c r="D1027" i="1"/>
  <c r="E1027" i="1" s="1"/>
  <c r="D1026" i="1"/>
  <c r="E1026" i="1" s="1"/>
  <c r="D1025" i="1"/>
  <c r="E1025" i="1" s="1"/>
  <c r="D1024" i="1"/>
  <c r="E1024" i="1" s="1"/>
  <c r="D1023" i="1"/>
  <c r="E1023" i="1" s="1"/>
  <c r="D1022" i="1"/>
  <c r="E1022" i="1" s="1"/>
  <c r="D1021" i="1"/>
  <c r="E1021" i="1" s="1"/>
  <c r="D1020" i="1"/>
  <c r="E1020" i="1" s="1"/>
  <c r="D1019" i="1"/>
  <c r="E1019" i="1" s="1"/>
  <c r="D1018" i="1"/>
  <c r="E1018" i="1" s="1"/>
  <c r="D1017" i="1"/>
  <c r="E1017" i="1" s="1"/>
  <c r="D1016" i="1"/>
  <c r="E1016" i="1" s="1"/>
  <c r="D1015" i="1"/>
  <c r="E1015" i="1" s="1"/>
  <c r="D1014" i="1"/>
  <c r="E1014" i="1" s="1"/>
  <c r="D1013" i="1"/>
  <c r="E1013" i="1" s="1"/>
  <c r="D1012" i="1"/>
  <c r="E1012" i="1" s="1"/>
  <c r="D1011" i="1"/>
  <c r="E1011" i="1" s="1"/>
  <c r="D1010" i="1"/>
  <c r="E1010" i="1" s="1"/>
  <c r="D1009" i="1"/>
  <c r="E1009" i="1" s="1"/>
  <c r="D1008" i="1"/>
  <c r="E1008" i="1" s="1"/>
  <c r="D1007" i="1"/>
  <c r="E1007" i="1" s="1"/>
  <c r="D1006" i="1"/>
  <c r="E1006" i="1" s="1"/>
  <c r="D1005" i="1"/>
  <c r="E1005" i="1" s="1"/>
  <c r="D1004" i="1"/>
  <c r="E1004" i="1" s="1"/>
  <c r="D1003" i="1"/>
  <c r="E1003" i="1" s="1"/>
  <c r="D1002" i="1"/>
  <c r="E1002" i="1" s="1"/>
  <c r="D1001" i="1"/>
  <c r="E1001" i="1" s="1"/>
  <c r="D1000" i="1"/>
  <c r="E1000" i="1" s="1"/>
  <c r="D999" i="1"/>
  <c r="E999" i="1" s="1"/>
  <c r="D998" i="1"/>
  <c r="E998" i="1" s="1"/>
  <c r="D997" i="1"/>
  <c r="E997" i="1" s="1"/>
  <c r="D996" i="1"/>
  <c r="E996" i="1" s="1"/>
  <c r="D995" i="1"/>
  <c r="E995" i="1" s="1"/>
  <c r="D994" i="1"/>
  <c r="E994" i="1" s="1"/>
  <c r="D993" i="1"/>
  <c r="E993" i="1" s="1"/>
  <c r="D992" i="1"/>
  <c r="E992" i="1" s="1"/>
  <c r="D991" i="1"/>
  <c r="E991" i="1" s="1"/>
  <c r="D990" i="1"/>
  <c r="E990" i="1" s="1"/>
  <c r="D989" i="1"/>
  <c r="E989" i="1" s="1"/>
  <c r="D988" i="1"/>
  <c r="E988" i="1" s="1"/>
  <c r="D987" i="1"/>
  <c r="E987" i="1" s="1"/>
  <c r="D986" i="1"/>
  <c r="E986" i="1" s="1"/>
  <c r="D985" i="1"/>
  <c r="E985" i="1" s="1"/>
  <c r="D984" i="1"/>
  <c r="E984" i="1" s="1"/>
  <c r="D983" i="1"/>
  <c r="E983" i="1" s="1"/>
  <c r="D982" i="1"/>
  <c r="E982" i="1" s="1"/>
  <c r="D981" i="1"/>
  <c r="E981" i="1" s="1"/>
  <c r="D980" i="1"/>
  <c r="E980" i="1" s="1"/>
  <c r="D979" i="1"/>
  <c r="E979" i="1" s="1"/>
  <c r="D978" i="1"/>
  <c r="E978" i="1" s="1"/>
  <c r="D977" i="1"/>
  <c r="E977" i="1" s="1"/>
  <c r="D976" i="1"/>
  <c r="E976" i="1" s="1"/>
  <c r="D975" i="1"/>
  <c r="E975" i="1" s="1"/>
  <c r="D974" i="1"/>
  <c r="E974" i="1" s="1"/>
  <c r="D973" i="1"/>
  <c r="E973" i="1" s="1"/>
  <c r="D972" i="1"/>
  <c r="E972" i="1" s="1"/>
  <c r="D971" i="1"/>
  <c r="E971" i="1" s="1"/>
  <c r="D970" i="1"/>
  <c r="E970" i="1" s="1"/>
  <c r="D969" i="1"/>
  <c r="E969" i="1" s="1"/>
  <c r="D968" i="1"/>
  <c r="E968" i="1" s="1"/>
  <c r="D967" i="1"/>
  <c r="E967" i="1" s="1"/>
  <c r="D966" i="1"/>
  <c r="E966" i="1" s="1"/>
  <c r="D965" i="1"/>
  <c r="E965" i="1" s="1"/>
  <c r="D964" i="1"/>
  <c r="E964" i="1" s="1"/>
  <c r="D963" i="1"/>
  <c r="E963" i="1" s="1"/>
  <c r="D962" i="1"/>
  <c r="E962" i="1" s="1"/>
  <c r="D961" i="1"/>
  <c r="E961" i="1" s="1"/>
  <c r="D960" i="1"/>
  <c r="E960" i="1" s="1"/>
  <c r="D959" i="1"/>
  <c r="E959" i="1" s="1"/>
  <c r="D958" i="1"/>
  <c r="E958" i="1" s="1"/>
  <c r="D957" i="1"/>
  <c r="E957" i="1" s="1"/>
  <c r="D956" i="1"/>
  <c r="E956" i="1" s="1"/>
  <c r="D955" i="1"/>
  <c r="E955" i="1" s="1"/>
  <c r="D954" i="1"/>
  <c r="E954" i="1" s="1"/>
  <c r="D953" i="1"/>
  <c r="E953" i="1" s="1"/>
  <c r="D952" i="1"/>
  <c r="E952" i="1" s="1"/>
  <c r="D951" i="1"/>
  <c r="E951" i="1" s="1"/>
  <c r="D950" i="1"/>
  <c r="E950" i="1" s="1"/>
  <c r="D949" i="1"/>
  <c r="E949" i="1" s="1"/>
  <c r="D948" i="1"/>
  <c r="E948" i="1" s="1"/>
  <c r="D947" i="1"/>
  <c r="E947" i="1" s="1"/>
  <c r="D946" i="1"/>
  <c r="E946" i="1" s="1"/>
  <c r="D945" i="1"/>
  <c r="E945" i="1" s="1"/>
  <c r="D944" i="1"/>
  <c r="E944" i="1" s="1"/>
  <c r="D943" i="1"/>
  <c r="E943" i="1" s="1"/>
  <c r="D942" i="1"/>
  <c r="E942" i="1" s="1"/>
  <c r="D941" i="1"/>
  <c r="E941" i="1" s="1"/>
  <c r="D940" i="1"/>
  <c r="E940" i="1" s="1"/>
  <c r="D939" i="1"/>
  <c r="E939" i="1" s="1"/>
  <c r="D938" i="1"/>
  <c r="E938" i="1" s="1"/>
  <c r="D937" i="1"/>
  <c r="E937" i="1" s="1"/>
  <c r="D936" i="1"/>
  <c r="E936" i="1" s="1"/>
  <c r="D935" i="1"/>
  <c r="E935" i="1" s="1"/>
  <c r="D934" i="1"/>
  <c r="E934" i="1" s="1"/>
  <c r="D933" i="1"/>
  <c r="E933" i="1" s="1"/>
  <c r="D932" i="1"/>
  <c r="E932" i="1" s="1"/>
  <c r="D931" i="1"/>
  <c r="E931" i="1" s="1"/>
  <c r="D930" i="1"/>
  <c r="E930" i="1" s="1"/>
  <c r="D929" i="1"/>
  <c r="E929" i="1" s="1"/>
  <c r="D928" i="1"/>
  <c r="E928" i="1" s="1"/>
  <c r="D927" i="1"/>
  <c r="E927" i="1" s="1"/>
  <c r="D926" i="1"/>
  <c r="E926" i="1" s="1"/>
  <c r="D925" i="1"/>
  <c r="E925" i="1" s="1"/>
  <c r="D924" i="1"/>
  <c r="E924" i="1" s="1"/>
  <c r="D923" i="1"/>
  <c r="E923" i="1" s="1"/>
  <c r="D922" i="1"/>
  <c r="E922" i="1" s="1"/>
  <c r="D921" i="1"/>
  <c r="E921" i="1" s="1"/>
  <c r="D920" i="1"/>
  <c r="E920" i="1" s="1"/>
  <c r="D919" i="1"/>
  <c r="E919" i="1" s="1"/>
  <c r="D918" i="1"/>
  <c r="E918" i="1" s="1"/>
  <c r="D917" i="1"/>
  <c r="E917" i="1" s="1"/>
  <c r="D916" i="1"/>
  <c r="E916" i="1" s="1"/>
  <c r="D915" i="1"/>
  <c r="E915" i="1" s="1"/>
  <c r="D914" i="1"/>
  <c r="E914" i="1" s="1"/>
  <c r="D913" i="1"/>
  <c r="E913" i="1" s="1"/>
  <c r="D912" i="1"/>
  <c r="E912" i="1" s="1"/>
  <c r="D911" i="1"/>
  <c r="E911" i="1" s="1"/>
  <c r="D910" i="1"/>
  <c r="E910" i="1" s="1"/>
  <c r="D909" i="1"/>
  <c r="E909" i="1" s="1"/>
  <c r="D908" i="1"/>
  <c r="E908" i="1" s="1"/>
  <c r="D907" i="1"/>
  <c r="E907" i="1" s="1"/>
  <c r="D906" i="1"/>
  <c r="E906" i="1" s="1"/>
  <c r="D905" i="1"/>
  <c r="E905" i="1" s="1"/>
  <c r="D904" i="1"/>
  <c r="E904" i="1" s="1"/>
  <c r="D903" i="1"/>
  <c r="E903" i="1" s="1"/>
  <c r="D902" i="1"/>
  <c r="E902" i="1" s="1"/>
  <c r="D901" i="1"/>
  <c r="E901" i="1" s="1"/>
  <c r="D900" i="1"/>
  <c r="E900" i="1" s="1"/>
  <c r="D899" i="1"/>
  <c r="E899" i="1" s="1"/>
  <c r="D898" i="1"/>
  <c r="E898" i="1" s="1"/>
  <c r="D897" i="1"/>
  <c r="E897" i="1" s="1"/>
  <c r="D896" i="1"/>
  <c r="E896" i="1" s="1"/>
  <c r="D895" i="1"/>
  <c r="E895" i="1" s="1"/>
  <c r="D894" i="1"/>
  <c r="E894" i="1" s="1"/>
  <c r="D893" i="1"/>
  <c r="E893" i="1" s="1"/>
  <c r="D892" i="1"/>
  <c r="E892" i="1" s="1"/>
  <c r="D891" i="1"/>
  <c r="E891" i="1" s="1"/>
  <c r="D890" i="1"/>
  <c r="E890" i="1" s="1"/>
  <c r="D889" i="1"/>
  <c r="E889" i="1" s="1"/>
  <c r="D888" i="1"/>
  <c r="E888" i="1" s="1"/>
  <c r="D887" i="1"/>
  <c r="E887" i="1" s="1"/>
  <c r="D886" i="1"/>
  <c r="E886" i="1" s="1"/>
  <c r="D885" i="1"/>
  <c r="E885" i="1" s="1"/>
  <c r="D884" i="1"/>
  <c r="E884" i="1" s="1"/>
  <c r="D883" i="1"/>
  <c r="E883" i="1" s="1"/>
  <c r="D882" i="1"/>
  <c r="E882" i="1" s="1"/>
  <c r="D881" i="1"/>
  <c r="E881" i="1" s="1"/>
  <c r="D880" i="1"/>
  <c r="E880" i="1" s="1"/>
  <c r="D879" i="1"/>
  <c r="E879" i="1" s="1"/>
  <c r="D878" i="1"/>
  <c r="E878" i="1" s="1"/>
  <c r="D877" i="1"/>
  <c r="E877" i="1" s="1"/>
  <c r="D876" i="1"/>
  <c r="E876" i="1" s="1"/>
  <c r="D875" i="1"/>
  <c r="E875" i="1" s="1"/>
  <c r="D874" i="1"/>
  <c r="E874" i="1" s="1"/>
  <c r="D873" i="1"/>
  <c r="E873" i="1" s="1"/>
  <c r="D872" i="1"/>
  <c r="E872" i="1" s="1"/>
  <c r="D871" i="1"/>
  <c r="E871" i="1" s="1"/>
  <c r="D870" i="1"/>
  <c r="E870" i="1" s="1"/>
  <c r="D869" i="1"/>
  <c r="E869" i="1" s="1"/>
  <c r="D868" i="1"/>
  <c r="E868" i="1" s="1"/>
  <c r="D867" i="1"/>
  <c r="E867" i="1" s="1"/>
  <c r="D866" i="1"/>
  <c r="E866" i="1" s="1"/>
  <c r="D865" i="1"/>
  <c r="E865" i="1" s="1"/>
  <c r="D864" i="1"/>
  <c r="E864" i="1" s="1"/>
  <c r="D863" i="1"/>
  <c r="E863" i="1" s="1"/>
  <c r="D862" i="1"/>
  <c r="E862" i="1" s="1"/>
  <c r="D861" i="1"/>
  <c r="E861" i="1" s="1"/>
  <c r="D860" i="1"/>
  <c r="E860" i="1" s="1"/>
  <c r="D859" i="1"/>
  <c r="E859" i="1" s="1"/>
  <c r="D858" i="1"/>
  <c r="E858" i="1" s="1"/>
  <c r="D857" i="1"/>
  <c r="E857" i="1" s="1"/>
  <c r="D856" i="1"/>
  <c r="E856" i="1" s="1"/>
  <c r="D855" i="1"/>
  <c r="E855" i="1" s="1"/>
  <c r="D854" i="1"/>
  <c r="E854" i="1" s="1"/>
  <c r="D853" i="1"/>
  <c r="E853" i="1" s="1"/>
  <c r="D852" i="1"/>
  <c r="E852" i="1" s="1"/>
  <c r="D851" i="1"/>
  <c r="E851" i="1" s="1"/>
  <c r="D850" i="1"/>
  <c r="E850" i="1" s="1"/>
  <c r="D849" i="1"/>
  <c r="E849" i="1" s="1"/>
  <c r="D848" i="1"/>
  <c r="E848" i="1" s="1"/>
  <c r="D847" i="1"/>
  <c r="E847" i="1" s="1"/>
  <c r="D846" i="1"/>
  <c r="E846" i="1" s="1"/>
  <c r="D845" i="1"/>
  <c r="E845" i="1" s="1"/>
  <c r="D844" i="1"/>
  <c r="E844" i="1" s="1"/>
  <c r="D843" i="1"/>
  <c r="E843" i="1" s="1"/>
  <c r="D842" i="1"/>
  <c r="E842" i="1" s="1"/>
  <c r="D841" i="1"/>
  <c r="E841" i="1" s="1"/>
  <c r="D840" i="1"/>
  <c r="E840" i="1" s="1"/>
  <c r="D839" i="1"/>
  <c r="E839" i="1" s="1"/>
  <c r="D838" i="1"/>
  <c r="E838" i="1" s="1"/>
  <c r="D837" i="1"/>
  <c r="E837" i="1" s="1"/>
  <c r="D836" i="1"/>
  <c r="E836" i="1" s="1"/>
  <c r="D835" i="1"/>
  <c r="E835" i="1" s="1"/>
  <c r="D834" i="1"/>
  <c r="E834" i="1" s="1"/>
  <c r="D833" i="1"/>
  <c r="E833" i="1" s="1"/>
  <c r="D832" i="1"/>
  <c r="E832" i="1" s="1"/>
  <c r="D831" i="1"/>
  <c r="E831" i="1" s="1"/>
  <c r="D830" i="1"/>
  <c r="E830" i="1" s="1"/>
  <c r="D829" i="1"/>
  <c r="E829" i="1" s="1"/>
  <c r="D828" i="1"/>
  <c r="E828" i="1" s="1"/>
  <c r="D827" i="1"/>
  <c r="E827" i="1" s="1"/>
  <c r="D826" i="1"/>
  <c r="E826" i="1" s="1"/>
  <c r="D825" i="1"/>
  <c r="E825" i="1" s="1"/>
  <c r="D824" i="1"/>
  <c r="E824" i="1" s="1"/>
  <c r="D823" i="1"/>
  <c r="E823" i="1" s="1"/>
  <c r="D822" i="1"/>
  <c r="E822" i="1" s="1"/>
  <c r="D821" i="1"/>
  <c r="E821" i="1" s="1"/>
  <c r="D820" i="1"/>
  <c r="E820" i="1" s="1"/>
  <c r="D819" i="1"/>
  <c r="E819" i="1" s="1"/>
  <c r="D818" i="1"/>
  <c r="E818" i="1" s="1"/>
  <c r="D817" i="1"/>
  <c r="E817" i="1" s="1"/>
  <c r="D816" i="1"/>
  <c r="E816" i="1" s="1"/>
  <c r="D815" i="1"/>
  <c r="E815" i="1" s="1"/>
  <c r="D814" i="1"/>
  <c r="E814" i="1" s="1"/>
  <c r="D813" i="1"/>
  <c r="E813" i="1" s="1"/>
  <c r="D812" i="1"/>
  <c r="E812" i="1" s="1"/>
  <c r="D811" i="1"/>
  <c r="E811" i="1" s="1"/>
  <c r="D810" i="1"/>
  <c r="E810" i="1" s="1"/>
  <c r="D809" i="1"/>
  <c r="E809" i="1" s="1"/>
  <c r="D808" i="1"/>
  <c r="E808" i="1" s="1"/>
  <c r="D807" i="1"/>
  <c r="E807" i="1" s="1"/>
  <c r="D806" i="1"/>
  <c r="E806" i="1" s="1"/>
  <c r="D805" i="1"/>
  <c r="E805" i="1" s="1"/>
  <c r="D804" i="1"/>
  <c r="E804" i="1" s="1"/>
  <c r="D803" i="1"/>
  <c r="E803" i="1" s="1"/>
  <c r="D802" i="1"/>
  <c r="E802" i="1" s="1"/>
  <c r="D801" i="1"/>
  <c r="E801" i="1" s="1"/>
  <c r="D800" i="1"/>
  <c r="E800" i="1" s="1"/>
  <c r="D799" i="1"/>
  <c r="E799" i="1" s="1"/>
  <c r="D798" i="1"/>
  <c r="E798" i="1" s="1"/>
  <c r="D797" i="1"/>
  <c r="E797" i="1" s="1"/>
  <c r="D796" i="1"/>
  <c r="E796" i="1" s="1"/>
  <c r="D795" i="1"/>
  <c r="E795" i="1" s="1"/>
  <c r="D794" i="1"/>
  <c r="E794" i="1" s="1"/>
  <c r="D793" i="1"/>
  <c r="E793" i="1" s="1"/>
  <c r="D792" i="1"/>
  <c r="E792" i="1" s="1"/>
  <c r="D791" i="1"/>
  <c r="E791" i="1" s="1"/>
  <c r="D790" i="1"/>
  <c r="E790" i="1" s="1"/>
  <c r="D789" i="1"/>
  <c r="E789" i="1" s="1"/>
  <c r="D788" i="1"/>
  <c r="E788" i="1" s="1"/>
  <c r="D787" i="1"/>
  <c r="E787" i="1" s="1"/>
  <c r="D786" i="1"/>
  <c r="E786" i="1" s="1"/>
  <c r="D785" i="1"/>
  <c r="E785" i="1" s="1"/>
  <c r="D784" i="1"/>
  <c r="E784" i="1" s="1"/>
  <c r="D783" i="1"/>
  <c r="E783" i="1" s="1"/>
  <c r="D782" i="1"/>
  <c r="E782" i="1" s="1"/>
  <c r="D781" i="1"/>
  <c r="E781" i="1" s="1"/>
  <c r="D780" i="1"/>
  <c r="E780" i="1" s="1"/>
  <c r="D779" i="1"/>
  <c r="E779" i="1" s="1"/>
  <c r="D778" i="1"/>
  <c r="E778" i="1" s="1"/>
  <c r="D777" i="1"/>
  <c r="E777" i="1" s="1"/>
  <c r="D776" i="1"/>
  <c r="E776" i="1" s="1"/>
  <c r="D775" i="1"/>
  <c r="E775" i="1" s="1"/>
  <c r="D774" i="1"/>
  <c r="E774" i="1" s="1"/>
  <c r="D773" i="1"/>
  <c r="E773" i="1" s="1"/>
  <c r="D772" i="1"/>
  <c r="E772" i="1" s="1"/>
  <c r="D771" i="1"/>
  <c r="E771" i="1" s="1"/>
  <c r="D770" i="1"/>
  <c r="E770" i="1" s="1"/>
  <c r="D769" i="1"/>
  <c r="E769" i="1" s="1"/>
  <c r="D768" i="1"/>
  <c r="E768" i="1" s="1"/>
  <c r="D767" i="1"/>
  <c r="E767" i="1" s="1"/>
  <c r="D766" i="1"/>
  <c r="E766" i="1" s="1"/>
  <c r="D765" i="1"/>
  <c r="E765" i="1" s="1"/>
  <c r="D764" i="1"/>
  <c r="E764" i="1" s="1"/>
  <c r="D763" i="1"/>
  <c r="E763" i="1" s="1"/>
  <c r="D762" i="1"/>
  <c r="E762" i="1" s="1"/>
  <c r="D761" i="1"/>
  <c r="E761" i="1" s="1"/>
  <c r="D760" i="1"/>
  <c r="E760" i="1" s="1"/>
  <c r="D759" i="1"/>
  <c r="E759" i="1" s="1"/>
  <c r="D758" i="1"/>
  <c r="E758" i="1" s="1"/>
  <c r="D757" i="1"/>
  <c r="E757" i="1" s="1"/>
  <c r="D756" i="1"/>
  <c r="E756" i="1" s="1"/>
  <c r="D755" i="1"/>
  <c r="E755" i="1" s="1"/>
  <c r="D754" i="1"/>
  <c r="E754" i="1" s="1"/>
  <c r="D753" i="1"/>
  <c r="E753" i="1" s="1"/>
  <c r="D752" i="1"/>
  <c r="E752" i="1" s="1"/>
  <c r="D751" i="1"/>
  <c r="E751" i="1" s="1"/>
  <c r="D750" i="1"/>
  <c r="E750" i="1" s="1"/>
  <c r="D749" i="1"/>
  <c r="E749" i="1" s="1"/>
  <c r="D748" i="1"/>
  <c r="E748" i="1" s="1"/>
  <c r="D747" i="1"/>
  <c r="E747" i="1" s="1"/>
  <c r="D746" i="1"/>
  <c r="E746" i="1" s="1"/>
  <c r="D745" i="1"/>
  <c r="E745" i="1" s="1"/>
  <c r="D744" i="1"/>
  <c r="E744" i="1" s="1"/>
  <c r="D743" i="1"/>
  <c r="E743" i="1" s="1"/>
  <c r="D742" i="1"/>
  <c r="E742" i="1" s="1"/>
  <c r="D741" i="1"/>
  <c r="E741" i="1" s="1"/>
  <c r="D740" i="1"/>
  <c r="E740" i="1" s="1"/>
  <c r="D739" i="1"/>
  <c r="E739" i="1" s="1"/>
  <c r="D738" i="1"/>
  <c r="E738" i="1" s="1"/>
  <c r="D737" i="1"/>
  <c r="E737" i="1" s="1"/>
  <c r="D736" i="1"/>
  <c r="E736" i="1" s="1"/>
  <c r="D735" i="1"/>
  <c r="E735" i="1" s="1"/>
  <c r="D734" i="1"/>
  <c r="E734" i="1" s="1"/>
  <c r="D733" i="1"/>
  <c r="E733" i="1" s="1"/>
  <c r="D732" i="1"/>
  <c r="E732" i="1" s="1"/>
  <c r="D731" i="1"/>
  <c r="E731" i="1" s="1"/>
  <c r="D730" i="1"/>
  <c r="E730" i="1" s="1"/>
  <c r="D729" i="1"/>
  <c r="E729" i="1" s="1"/>
  <c r="D728" i="1"/>
  <c r="E728" i="1" s="1"/>
  <c r="D727" i="1"/>
  <c r="E727" i="1" s="1"/>
  <c r="D726" i="1"/>
  <c r="E726" i="1" s="1"/>
  <c r="D725" i="1"/>
  <c r="E725" i="1" s="1"/>
  <c r="D724" i="1"/>
  <c r="E724" i="1" s="1"/>
  <c r="D723" i="1"/>
  <c r="E723" i="1" s="1"/>
  <c r="D722" i="1"/>
  <c r="E722" i="1" s="1"/>
  <c r="D721" i="1"/>
  <c r="E721" i="1" s="1"/>
  <c r="D720" i="1"/>
  <c r="E720" i="1" s="1"/>
  <c r="D719" i="1"/>
  <c r="E719" i="1" s="1"/>
  <c r="D718" i="1"/>
  <c r="E718" i="1" s="1"/>
  <c r="D717" i="1"/>
  <c r="E717" i="1" s="1"/>
  <c r="D716" i="1"/>
  <c r="E716" i="1" s="1"/>
  <c r="D715" i="1"/>
  <c r="E715" i="1" s="1"/>
  <c r="D714" i="1"/>
  <c r="E714" i="1" s="1"/>
  <c r="D713" i="1"/>
  <c r="E713" i="1" s="1"/>
  <c r="D712" i="1"/>
  <c r="E712" i="1" s="1"/>
  <c r="D711" i="1"/>
  <c r="E711" i="1" s="1"/>
  <c r="D710" i="1"/>
  <c r="E710" i="1" s="1"/>
  <c r="D709" i="1"/>
  <c r="E709" i="1" s="1"/>
  <c r="D708" i="1"/>
  <c r="E708" i="1" s="1"/>
  <c r="D707" i="1"/>
  <c r="E707" i="1" s="1"/>
  <c r="D706" i="1"/>
  <c r="E706" i="1" s="1"/>
  <c r="D705" i="1"/>
  <c r="E705" i="1" s="1"/>
  <c r="D704" i="1"/>
  <c r="E704" i="1" s="1"/>
  <c r="D703" i="1"/>
  <c r="E703" i="1" s="1"/>
  <c r="D702" i="1"/>
  <c r="E702" i="1" s="1"/>
  <c r="D701" i="1"/>
  <c r="E701" i="1" s="1"/>
  <c r="D700" i="1"/>
  <c r="E700" i="1" s="1"/>
  <c r="D699" i="1"/>
  <c r="E699" i="1" s="1"/>
  <c r="D698" i="1"/>
  <c r="E698" i="1" s="1"/>
  <c r="D697" i="1"/>
  <c r="E697" i="1" s="1"/>
  <c r="D696" i="1"/>
  <c r="E696" i="1" s="1"/>
  <c r="D695" i="1"/>
  <c r="E695" i="1" s="1"/>
  <c r="D694" i="1"/>
  <c r="E694" i="1" s="1"/>
  <c r="D693" i="1"/>
  <c r="E693" i="1" s="1"/>
  <c r="D692" i="1"/>
  <c r="E692" i="1" s="1"/>
  <c r="D691" i="1"/>
  <c r="E691" i="1" s="1"/>
  <c r="D690" i="1"/>
  <c r="E690" i="1" s="1"/>
  <c r="D689" i="1"/>
  <c r="E689" i="1" s="1"/>
  <c r="D688" i="1"/>
  <c r="E688" i="1" s="1"/>
  <c r="D687" i="1"/>
  <c r="E687" i="1" s="1"/>
  <c r="D686" i="1"/>
  <c r="E686" i="1" s="1"/>
  <c r="D685" i="1"/>
  <c r="E685" i="1" s="1"/>
  <c r="D684" i="1"/>
  <c r="E684" i="1" s="1"/>
  <c r="D683" i="1"/>
  <c r="E683" i="1" s="1"/>
  <c r="D682" i="1"/>
  <c r="E682" i="1" s="1"/>
  <c r="D681" i="1"/>
  <c r="E681" i="1" s="1"/>
  <c r="D680" i="1"/>
  <c r="E680" i="1" s="1"/>
  <c r="D679" i="1"/>
  <c r="E679" i="1" s="1"/>
  <c r="D678" i="1"/>
  <c r="E678" i="1" s="1"/>
  <c r="D677" i="1"/>
  <c r="E677" i="1" s="1"/>
  <c r="D676" i="1"/>
  <c r="E676" i="1" s="1"/>
  <c r="D675" i="1"/>
  <c r="E675" i="1" s="1"/>
  <c r="D674" i="1"/>
  <c r="E674" i="1" s="1"/>
  <c r="D673" i="1"/>
  <c r="E673" i="1" s="1"/>
  <c r="D672" i="1"/>
  <c r="E672" i="1" s="1"/>
  <c r="D671" i="1"/>
  <c r="E671" i="1" s="1"/>
  <c r="D670" i="1"/>
  <c r="E670" i="1" s="1"/>
  <c r="D669" i="1"/>
  <c r="E669" i="1" s="1"/>
  <c r="D668" i="1"/>
  <c r="E668" i="1" s="1"/>
  <c r="D667" i="1"/>
  <c r="E667" i="1" s="1"/>
  <c r="D666" i="1"/>
  <c r="E666" i="1" s="1"/>
  <c r="D665" i="1"/>
  <c r="E665" i="1" s="1"/>
  <c r="D664" i="1"/>
  <c r="E664" i="1" s="1"/>
  <c r="D663" i="1"/>
  <c r="E663" i="1" s="1"/>
  <c r="D662" i="1"/>
  <c r="E662" i="1" s="1"/>
  <c r="D661" i="1"/>
  <c r="E661" i="1" s="1"/>
  <c r="D660" i="1"/>
  <c r="E660" i="1" s="1"/>
  <c r="D659" i="1"/>
  <c r="E659" i="1" s="1"/>
  <c r="D658" i="1"/>
  <c r="E658" i="1" s="1"/>
  <c r="D657" i="1"/>
  <c r="E657" i="1" s="1"/>
  <c r="D656" i="1"/>
  <c r="E656" i="1" s="1"/>
  <c r="D655" i="1"/>
  <c r="E655" i="1" s="1"/>
  <c r="D654" i="1"/>
  <c r="E654" i="1" s="1"/>
  <c r="D653" i="1"/>
  <c r="E653" i="1" s="1"/>
  <c r="D652" i="1"/>
  <c r="E652" i="1" s="1"/>
  <c r="D651" i="1"/>
  <c r="E651" i="1" s="1"/>
  <c r="D650" i="1"/>
  <c r="E650" i="1" s="1"/>
  <c r="D649" i="1"/>
  <c r="E649" i="1" s="1"/>
  <c r="D648" i="1"/>
  <c r="E648" i="1" s="1"/>
  <c r="D647" i="1"/>
  <c r="E647" i="1" s="1"/>
  <c r="D646" i="1"/>
  <c r="E646" i="1" s="1"/>
  <c r="D645" i="1"/>
  <c r="E645" i="1" s="1"/>
  <c r="D644" i="1"/>
  <c r="E644" i="1" s="1"/>
  <c r="D643" i="1"/>
  <c r="E643" i="1" s="1"/>
  <c r="D642" i="1"/>
  <c r="E642" i="1" s="1"/>
  <c r="D641" i="1"/>
  <c r="E641" i="1" s="1"/>
  <c r="D640" i="1"/>
  <c r="E640" i="1" s="1"/>
  <c r="D639" i="1"/>
  <c r="E639" i="1" s="1"/>
  <c r="D638" i="1"/>
  <c r="E638" i="1" s="1"/>
  <c r="D637" i="1"/>
  <c r="E637" i="1" s="1"/>
  <c r="D636" i="1"/>
  <c r="E636" i="1" s="1"/>
  <c r="D635" i="1"/>
  <c r="E635" i="1" s="1"/>
  <c r="D634" i="1"/>
  <c r="E634" i="1" s="1"/>
  <c r="D633" i="1"/>
  <c r="E633" i="1" s="1"/>
  <c r="D632" i="1"/>
  <c r="E632" i="1" s="1"/>
  <c r="D631" i="1"/>
  <c r="E631" i="1" s="1"/>
  <c r="D630" i="1"/>
  <c r="E630" i="1" s="1"/>
  <c r="E629" i="1"/>
  <c r="D629" i="1"/>
  <c r="D628" i="1"/>
  <c r="E628" i="1" s="1"/>
  <c r="D627" i="1"/>
  <c r="E627" i="1" s="1"/>
  <c r="D626" i="1"/>
  <c r="E626" i="1" s="1"/>
  <c r="D625" i="1"/>
  <c r="E625" i="1" s="1"/>
  <c r="D624" i="1"/>
  <c r="E624" i="1" s="1"/>
  <c r="D623" i="1"/>
  <c r="E623" i="1" s="1"/>
  <c r="D622" i="1"/>
  <c r="E622" i="1" s="1"/>
  <c r="D621" i="1"/>
  <c r="E621" i="1" s="1"/>
  <c r="D620" i="1"/>
  <c r="E620" i="1" s="1"/>
  <c r="D619" i="1"/>
  <c r="E619" i="1" s="1"/>
  <c r="D618" i="1"/>
  <c r="E618" i="1" s="1"/>
  <c r="D617" i="1"/>
  <c r="E617" i="1" s="1"/>
  <c r="D616" i="1"/>
  <c r="E616" i="1" s="1"/>
  <c r="D615" i="1"/>
  <c r="E615" i="1" s="1"/>
  <c r="D614" i="1"/>
  <c r="E614" i="1" s="1"/>
  <c r="D613" i="1"/>
  <c r="E613" i="1" s="1"/>
  <c r="D612" i="1"/>
  <c r="E612" i="1" s="1"/>
  <c r="D611" i="1"/>
  <c r="E611" i="1" s="1"/>
  <c r="D610" i="1"/>
  <c r="E610" i="1" s="1"/>
  <c r="D609" i="1"/>
  <c r="E609" i="1" s="1"/>
  <c r="D608" i="1"/>
  <c r="E608" i="1" s="1"/>
  <c r="D607" i="1"/>
  <c r="E607" i="1" s="1"/>
  <c r="D606" i="1"/>
  <c r="E606" i="1" s="1"/>
  <c r="D605" i="1"/>
  <c r="E605" i="1" s="1"/>
  <c r="D604" i="1"/>
  <c r="E604" i="1" s="1"/>
  <c r="D603" i="1"/>
  <c r="E603" i="1" s="1"/>
  <c r="D602" i="1"/>
  <c r="E602" i="1" s="1"/>
  <c r="D601" i="1"/>
  <c r="E601" i="1" s="1"/>
  <c r="D600" i="1"/>
  <c r="E600" i="1" s="1"/>
  <c r="D599" i="1"/>
  <c r="E599" i="1" s="1"/>
  <c r="D598" i="1"/>
  <c r="E598" i="1" s="1"/>
  <c r="D597" i="1"/>
  <c r="E597" i="1" s="1"/>
  <c r="D596" i="1"/>
  <c r="E596" i="1" s="1"/>
  <c r="D595" i="1"/>
  <c r="E595" i="1" s="1"/>
  <c r="D594" i="1"/>
  <c r="E594" i="1" s="1"/>
  <c r="D593" i="1"/>
  <c r="E593" i="1" s="1"/>
  <c r="D592" i="1"/>
  <c r="E592" i="1" s="1"/>
  <c r="D591" i="1"/>
  <c r="E591" i="1" s="1"/>
  <c r="D590" i="1"/>
  <c r="E590" i="1" s="1"/>
  <c r="D589" i="1"/>
  <c r="E589" i="1" s="1"/>
  <c r="D588" i="1"/>
  <c r="E588" i="1" s="1"/>
  <c r="D587" i="1"/>
  <c r="E587" i="1" s="1"/>
  <c r="D586" i="1"/>
  <c r="E586" i="1" s="1"/>
  <c r="D585" i="1"/>
  <c r="E585" i="1" s="1"/>
  <c r="D584" i="1"/>
  <c r="E584" i="1" s="1"/>
  <c r="D583" i="1"/>
  <c r="E583" i="1" s="1"/>
  <c r="D582" i="1"/>
  <c r="E582" i="1" s="1"/>
  <c r="D581" i="1"/>
  <c r="E581" i="1" s="1"/>
  <c r="D580" i="1"/>
  <c r="E580" i="1" s="1"/>
  <c r="D579" i="1"/>
  <c r="E579" i="1" s="1"/>
  <c r="D578" i="1"/>
  <c r="E578" i="1" s="1"/>
  <c r="D577" i="1"/>
  <c r="E577" i="1" s="1"/>
  <c r="D576" i="1"/>
  <c r="E576" i="1" s="1"/>
  <c r="D575" i="1"/>
  <c r="E575" i="1" s="1"/>
  <c r="D574" i="1"/>
  <c r="E574" i="1" s="1"/>
  <c r="D573" i="1"/>
  <c r="E573" i="1" s="1"/>
  <c r="D572" i="1"/>
  <c r="E572" i="1" s="1"/>
  <c r="D571" i="1"/>
  <c r="E571" i="1" s="1"/>
  <c r="D570" i="1"/>
  <c r="E570" i="1" s="1"/>
  <c r="D569" i="1"/>
  <c r="E569" i="1" s="1"/>
  <c r="D568" i="1"/>
  <c r="E568" i="1" s="1"/>
  <c r="D567" i="1"/>
  <c r="E567" i="1" s="1"/>
  <c r="D566" i="1"/>
  <c r="E566" i="1" s="1"/>
  <c r="D565" i="1"/>
  <c r="E565" i="1" s="1"/>
  <c r="D564" i="1"/>
  <c r="E564" i="1" s="1"/>
  <c r="D563" i="1"/>
  <c r="E563" i="1" s="1"/>
  <c r="D562" i="1"/>
  <c r="E562" i="1" s="1"/>
  <c r="D561" i="1"/>
  <c r="E561" i="1" s="1"/>
  <c r="D560" i="1"/>
  <c r="E560" i="1" s="1"/>
  <c r="D559" i="1"/>
  <c r="E559" i="1" s="1"/>
  <c r="D558" i="1"/>
  <c r="E558" i="1" s="1"/>
  <c r="D557" i="1"/>
  <c r="E557" i="1" s="1"/>
  <c r="D556" i="1"/>
  <c r="E556" i="1" s="1"/>
  <c r="D555" i="1"/>
  <c r="E555" i="1" s="1"/>
  <c r="D554" i="1"/>
  <c r="E554" i="1" s="1"/>
  <c r="D553" i="1"/>
  <c r="E553" i="1" s="1"/>
  <c r="D552" i="1"/>
  <c r="E552" i="1" s="1"/>
  <c r="D551" i="1"/>
  <c r="E551" i="1" s="1"/>
  <c r="D550" i="1"/>
  <c r="E550" i="1" s="1"/>
  <c r="D549" i="1"/>
  <c r="E549" i="1" s="1"/>
  <c r="D548" i="1"/>
  <c r="E548" i="1" s="1"/>
  <c r="D547" i="1"/>
  <c r="E547" i="1" s="1"/>
  <c r="D546" i="1"/>
  <c r="E546" i="1" s="1"/>
  <c r="D545" i="1"/>
  <c r="E545" i="1" s="1"/>
  <c r="D544" i="1"/>
  <c r="E544" i="1" s="1"/>
  <c r="D543" i="1"/>
  <c r="E543" i="1" s="1"/>
  <c r="D542" i="1"/>
  <c r="E542" i="1" s="1"/>
  <c r="D541" i="1"/>
  <c r="E541" i="1" s="1"/>
  <c r="D540" i="1"/>
  <c r="E540" i="1" s="1"/>
  <c r="D539" i="1"/>
  <c r="E539" i="1" s="1"/>
  <c r="D538" i="1"/>
  <c r="E538" i="1" s="1"/>
  <c r="D537" i="1"/>
  <c r="E537" i="1" s="1"/>
  <c r="D536" i="1"/>
  <c r="E536" i="1" s="1"/>
  <c r="D535" i="1"/>
  <c r="E535" i="1" s="1"/>
  <c r="D534" i="1"/>
  <c r="E534" i="1" s="1"/>
  <c r="D533" i="1"/>
  <c r="E533" i="1" s="1"/>
  <c r="D532" i="1"/>
  <c r="E532" i="1" s="1"/>
  <c r="D531" i="1"/>
  <c r="E531" i="1" s="1"/>
  <c r="D530" i="1"/>
  <c r="E530" i="1" s="1"/>
  <c r="D529" i="1"/>
  <c r="E529" i="1" s="1"/>
  <c r="D528" i="1"/>
  <c r="E528" i="1" s="1"/>
  <c r="D527" i="1"/>
  <c r="E527" i="1" s="1"/>
  <c r="D526" i="1"/>
  <c r="E526" i="1" s="1"/>
  <c r="D525" i="1"/>
  <c r="E525" i="1" s="1"/>
  <c r="D524" i="1"/>
  <c r="E524" i="1" s="1"/>
  <c r="D523" i="1"/>
  <c r="E523" i="1" s="1"/>
  <c r="D522" i="1"/>
  <c r="E522" i="1" s="1"/>
  <c r="D521" i="1"/>
  <c r="E521" i="1" s="1"/>
  <c r="D520" i="1"/>
  <c r="E520" i="1" s="1"/>
  <c r="D519" i="1"/>
  <c r="E519" i="1" s="1"/>
  <c r="D518" i="1"/>
  <c r="E518" i="1" s="1"/>
  <c r="D517" i="1"/>
  <c r="E517" i="1" s="1"/>
  <c r="D516" i="1"/>
  <c r="E516" i="1" s="1"/>
  <c r="D515" i="1"/>
  <c r="E515" i="1" s="1"/>
  <c r="D514" i="1"/>
  <c r="E514" i="1" s="1"/>
  <c r="D513" i="1"/>
  <c r="E513" i="1" s="1"/>
  <c r="D512" i="1"/>
  <c r="E512" i="1" s="1"/>
  <c r="D511" i="1"/>
  <c r="E511" i="1" s="1"/>
  <c r="D510" i="1"/>
  <c r="E510" i="1" s="1"/>
  <c r="D509" i="1"/>
  <c r="E509" i="1" s="1"/>
  <c r="D508" i="1"/>
  <c r="E508" i="1" s="1"/>
  <c r="D507" i="1"/>
  <c r="E507" i="1" s="1"/>
  <c r="D506" i="1"/>
  <c r="E506" i="1" s="1"/>
  <c r="D505" i="1"/>
  <c r="E505" i="1" s="1"/>
  <c r="D504" i="1"/>
  <c r="E504" i="1" s="1"/>
  <c r="D503" i="1"/>
  <c r="E503" i="1" s="1"/>
  <c r="D502" i="1"/>
  <c r="E502" i="1" s="1"/>
  <c r="D501" i="1"/>
  <c r="E501" i="1" s="1"/>
  <c r="D500" i="1"/>
  <c r="E500" i="1" s="1"/>
  <c r="D499" i="1"/>
  <c r="E499" i="1" s="1"/>
  <c r="D498" i="1"/>
  <c r="E498" i="1" s="1"/>
  <c r="D497" i="1"/>
  <c r="E497" i="1" s="1"/>
  <c r="D496" i="1"/>
  <c r="E496" i="1" s="1"/>
  <c r="D495" i="1"/>
  <c r="E495" i="1" s="1"/>
  <c r="D494" i="1"/>
  <c r="E494" i="1" s="1"/>
  <c r="D493" i="1"/>
  <c r="E493" i="1" s="1"/>
  <c r="D492" i="1"/>
  <c r="E492" i="1" s="1"/>
  <c r="D491" i="1"/>
  <c r="E491" i="1" s="1"/>
  <c r="D490" i="1"/>
  <c r="E490" i="1" s="1"/>
  <c r="D489" i="1"/>
  <c r="E489" i="1" s="1"/>
  <c r="D488" i="1"/>
  <c r="E488" i="1" s="1"/>
  <c r="D487" i="1"/>
  <c r="E487" i="1" s="1"/>
  <c r="D486" i="1"/>
  <c r="E486" i="1" s="1"/>
  <c r="D485" i="1"/>
  <c r="E485" i="1" s="1"/>
  <c r="D484" i="1"/>
  <c r="E484" i="1" s="1"/>
  <c r="D483" i="1"/>
  <c r="E483" i="1" s="1"/>
  <c r="D482" i="1"/>
  <c r="E482" i="1" s="1"/>
  <c r="D481" i="1"/>
  <c r="E481" i="1" s="1"/>
  <c r="D480" i="1"/>
  <c r="E480" i="1" s="1"/>
  <c r="D479" i="1"/>
  <c r="E479" i="1" s="1"/>
  <c r="D478" i="1"/>
  <c r="E478" i="1" s="1"/>
  <c r="D477" i="1"/>
  <c r="E477" i="1" s="1"/>
  <c r="D476" i="1"/>
  <c r="E476" i="1" s="1"/>
  <c r="D475" i="1"/>
  <c r="E475" i="1" s="1"/>
  <c r="D474" i="1"/>
  <c r="E474" i="1" s="1"/>
  <c r="D473" i="1"/>
  <c r="E473" i="1" s="1"/>
  <c r="D472" i="1"/>
  <c r="E472" i="1" s="1"/>
  <c r="D471" i="1"/>
  <c r="E471" i="1" s="1"/>
  <c r="D470" i="1"/>
  <c r="E470" i="1" s="1"/>
  <c r="D469" i="1"/>
  <c r="E469" i="1" s="1"/>
  <c r="D468" i="1"/>
  <c r="E468" i="1" s="1"/>
  <c r="D467" i="1"/>
  <c r="E467" i="1" s="1"/>
  <c r="D466" i="1"/>
  <c r="E466" i="1" s="1"/>
  <c r="D465" i="1"/>
  <c r="E465" i="1" s="1"/>
  <c r="D464" i="1"/>
  <c r="E464" i="1" s="1"/>
  <c r="D463" i="1"/>
  <c r="E463" i="1" s="1"/>
  <c r="D462" i="1"/>
  <c r="E462" i="1" s="1"/>
  <c r="D461" i="1"/>
  <c r="E461" i="1" s="1"/>
  <c r="D460" i="1"/>
  <c r="E460" i="1" s="1"/>
  <c r="D459" i="1"/>
  <c r="E459" i="1" s="1"/>
  <c r="D458" i="1"/>
  <c r="E458" i="1" s="1"/>
  <c r="D457" i="1"/>
  <c r="E457" i="1" s="1"/>
  <c r="D456" i="1"/>
  <c r="E456" i="1" s="1"/>
  <c r="D455" i="1"/>
  <c r="E455" i="1" s="1"/>
  <c r="D454" i="1"/>
  <c r="E454" i="1" s="1"/>
  <c r="D453" i="1"/>
  <c r="E453" i="1" s="1"/>
  <c r="D452" i="1"/>
  <c r="E452" i="1" s="1"/>
  <c r="D451" i="1"/>
  <c r="E451" i="1" s="1"/>
  <c r="D450" i="1"/>
  <c r="E450" i="1" s="1"/>
  <c r="D449" i="1"/>
  <c r="E449" i="1" s="1"/>
  <c r="D448" i="1"/>
  <c r="E448" i="1" s="1"/>
  <c r="D447" i="1"/>
  <c r="E447" i="1" s="1"/>
  <c r="D446" i="1"/>
  <c r="E446" i="1" s="1"/>
  <c r="D445" i="1"/>
  <c r="E445" i="1" s="1"/>
  <c r="D444" i="1"/>
  <c r="E444" i="1" s="1"/>
  <c r="D443" i="1"/>
  <c r="E443" i="1" s="1"/>
  <c r="D442" i="1"/>
  <c r="E442" i="1" s="1"/>
  <c r="D441" i="1"/>
  <c r="E441" i="1" s="1"/>
  <c r="D440" i="1"/>
  <c r="E440" i="1" s="1"/>
  <c r="D439" i="1"/>
  <c r="E439" i="1" s="1"/>
  <c r="D438" i="1"/>
  <c r="E438" i="1" s="1"/>
  <c r="D437" i="1"/>
  <c r="E437" i="1" s="1"/>
  <c r="D436" i="1"/>
  <c r="E436" i="1" s="1"/>
  <c r="D435" i="1"/>
  <c r="E435" i="1" s="1"/>
  <c r="D434" i="1"/>
  <c r="E434" i="1" s="1"/>
  <c r="D433" i="1"/>
  <c r="E433" i="1" s="1"/>
  <c r="D432" i="1"/>
  <c r="E432" i="1" s="1"/>
  <c r="D431" i="1"/>
  <c r="E431" i="1" s="1"/>
  <c r="D430" i="1"/>
  <c r="E430" i="1" s="1"/>
  <c r="D429" i="1"/>
  <c r="E429" i="1" s="1"/>
  <c r="D428" i="1"/>
  <c r="E428" i="1" s="1"/>
  <c r="D427" i="1"/>
  <c r="E427" i="1" s="1"/>
  <c r="D426" i="1"/>
  <c r="E426" i="1" s="1"/>
  <c r="D425" i="1"/>
  <c r="E425" i="1" s="1"/>
  <c r="D424" i="1"/>
  <c r="E424" i="1" s="1"/>
  <c r="D423" i="1"/>
  <c r="E423" i="1" s="1"/>
  <c r="D422" i="1"/>
  <c r="E422" i="1" s="1"/>
  <c r="D421" i="1"/>
  <c r="E421" i="1" s="1"/>
  <c r="D420" i="1"/>
  <c r="E420" i="1" s="1"/>
  <c r="D419" i="1"/>
  <c r="E419" i="1" s="1"/>
  <c r="D418" i="1"/>
  <c r="E418" i="1" s="1"/>
  <c r="D417" i="1"/>
  <c r="E417" i="1" s="1"/>
  <c r="D416" i="1"/>
  <c r="E416" i="1" s="1"/>
  <c r="D415" i="1"/>
  <c r="E415" i="1" s="1"/>
  <c r="D414" i="1"/>
  <c r="E414" i="1" s="1"/>
  <c r="D413" i="1"/>
  <c r="E413" i="1" s="1"/>
  <c r="D412" i="1"/>
  <c r="E412" i="1" s="1"/>
  <c r="D411" i="1"/>
  <c r="E411" i="1" s="1"/>
  <c r="D410" i="1"/>
  <c r="E410" i="1" s="1"/>
  <c r="D409" i="1"/>
  <c r="E409" i="1" s="1"/>
  <c r="D408" i="1"/>
  <c r="E408" i="1" s="1"/>
  <c r="D407" i="1"/>
  <c r="E407" i="1" s="1"/>
  <c r="D406" i="1"/>
  <c r="E406" i="1" s="1"/>
  <c r="D405" i="1"/>
  <c r="E405" i="1" s="1"/>
  <c r="D404" i="1"/>
  <c r="E404" i="1" s="1"/>
  <c r="D403" i="1"/>
  <c r="E403" i="1" s="1"/>
  <c r="D402" i="1"/>
  <c r="E402" i="1" s="1"/>
  <c r="D401" i="1"/>
  <c r="E401" i="1" s="1"/>
  <c r="D400" i="1"/>
  <c r="E400" i="1" s="1"/>
  <c r="D399" i="1"/>
  <c r="E399" i="1" s="1"/>
  <c r="D398" i="1"/>
  <c r="E398" i="1" s="1"/>
  <c r="D397" i="1"/>
  <c r="E397" i="1" s="1"/>
  <c r="D396" i="1"/>
  <c r="E396" i="1" s="1"/>
  <c r="D395" i="1"/>
  <c r="E395" i="1" s="1"/>
  <c r="D394" i="1"/>
  <c r="E394" i="1" s="1"/>
  <c r="D393" i="1"/>
  <c r="E393" i="1" s="1"/>
  <c r="D392" i="1"/>
  <c r="E392" i="1" s="1"/>
  <c r="D391" i="1"/>
  <c r="E391" i="1" s="1"/>
  <c r="D390" i="1"/>
  <c r="E390" i="1" s="1"/>
  <c r="D389" i="1"/>
  <c r="E389" i="1" s="1"/>
  <c r="D388" i="1"/>
  <c r="E388" i="1" s="1"/>
  <c r="D387" i="1"/>
  <c r="E387" i="1" s="1"/>
  <c r="D386" i="1"/>
  <c r="E386" i="1" s="1"/>
  <c r="D385" i="1"/>
  <c r="E385" i="1" s="1"/>
  <c r="D384" i="1"/>
  <c r="E384" i="1" s="1"/>
  <c r="D383" i="1"/>
  <c r="E383" i="1" s="1"/>
  <c r="D382" i="1"/>
  <c r="E382" i="1" s="1"/>
  <c r="D381" i="1"/>
  <c r="E381" i="1" s="1"/>
  <c r="D380" i="1"/>
  <c r="E380" i="1" s="1"/>
  <c r="D379" i="1"/>
  <c r="E379" i="1" s="1"/>
  <c r="D378" i="1"/>
  <c r="E378" i="1" s="1"/>
  <c r="D377" i="1"/>
  <c r="E377" i="1" s="1"/>
  <c r="D376" i="1"/>
  <c r="E376" i="1" s="1"/>
  <c r="D375" i="1"/>
  <c r="E375" i="1" s="1"/>
  <c r="D374" i="1"/>
  <c r="E374" i="1" s="1"/>
  <c r="D373" i="1"/>
  <c r="E373" i="1" s="1"/>
  <c r="D372" i="1"/>
  <c r="E372" i="1" s="1"/>
  <c r="D371" i="1"/>
  <c r="E371" i="1" s="1"/>
  <c r="D370" i="1"/>
  <c r="E370" i="1" s="1"/>
  <c r="D369" i="1"/>
  <c r="E369" i="1" s="1"/>
  <c r="D368" i="1"/>
  <c r="E368" i="1" s="1"/>
  <c r="D367" i="1"/>
  <c r="E367" i="1" s="1"/>
  <c r="D366" i="1"/>
  <c r="E366" i="1" s="1"/>
  <c r="D365" i="1"/>
  <c r="E365" i="1" s="1"/>
  <c r="D364" i="1"/>
  <c r="E364" i="1" s="1"/>
  <c r="D363" i="1"/>
  <c r="E363" i="1" s="1"/>
  <c r="D362" i="1"/>
  <c r="E362" i="1" s="1"/>
  <c r="D361" i="1"/>
  <c r="E361" i="1" s="1"/>
  <c r="D360" i="1"/>
  <c r="E360" i="1" s="1"/>
  <c r="D359" i="1"/>
  <c r="E359" i="1" s="1"/>
  <c r="D358" i="1"/>
  <c r="E358" i="1" s="1"/>
  <c r="D357" i="1"/>
  <c r="E357" i="1" s="1"/>
  <c r="D356" i="1"/>
  <c r="E356" i="1" s="1"/>
  <c r="D355" i="1"/>
  <c r="E355" i="1" s="1"/>
  <c r="D354" i="1"/>
  <c r="E354" i="1" s="1"/>
  <c r="D353" i="1"/>
  <c r="E353" i="1" s="1"/>
  <c r="D352" i="1"/>
  <c r="E352" i="1" s="1"/>
  <c r="D351" i="1"/>
  <c r="E351" i="1" s="1"/>
  <c r="D350" i="1"/>
  <c r="E350" i="1" s="1"/>
  <c r="D349" i="1"/>
  <c r="E349" i="1" s="1"/>
  <c r="D348" i="1"/>
  <c r="E348" i="1" s="1"/>
  <c r="D347" i="1"/>
  <c r="E347" i="1" s="1"/>
  <c r="D346" i="1"/>
  <c r="E346" i="1" s="1"/>
  <c r="D345" i="1"/>
  <c r="E345" i="1" s="1"/>
  <c r="D344" i="1"/>
  <c r="E344" i="1" s="1"/>
  <c r="D343" i="1"/>
  <c r="E343" i="1" s="1"/>
  <c r="D342" i="1"/>
  <c r="E342" i="1" s="1"/>
  <c r="D341" i="1"/>
  <c r="E341" i="1" s="1"/>
  <c r="D340" i="1"/>
  <c r="E340" i="1" s="1"/>
  <c r="D339" i="1"/>
  <c r="E339" i="1" s="1"/>
  <c r="D338" i="1"/>
  <c r="E338" i="1" s="1"/>
  <c r="D337" i="1"/>
  <c r="E337" i="1" s="1"/>
  <c r="D336" i="1"/>
  <c r="E336" i="1" s="1"/>
  <c r="D335" i="1"/>
  <c r="E335" i="1" s="1"/>
  <c r="D334" i="1"/>
  <c r="E334" i="1" s="1"/>
  <c r="D333" i="1"/>
  <c r="E333" i="1" s="1"/>
  <c r="D332" i="1"/>
  <c r="E332" i="1" s="1"/>
  <c r="D331" i="1"/>
  <c r="E331" i="1" s="1"/>
  <c r="D330" i="1"/>
  <c r="E330" i="1" s="1"/>
  <c r="D329" i="1"/>
  <c r="E329" i="1" s="1"/>
  <c r="D328" i="1"/>
  <c r="E328" i="1" s="1"/>
  <c r="D327" i="1"/>
  <c r="E327" i="1" s="1"/>
  <c r="D326" i="1"/>
  <c r="E326" i="1" s="1"/>
  <c r="D325" i="1"/>
  <c r="E325" i="1" s="1"/>
  <c r="D324" i="1"/>
  <c r="E324" i="1" s="1"/>
  <c r="D323" i="1"/>
  <c r="E323" i="1" s="1"/>
  <c r="D322" i="1"/>
  <c r="E322" i="1" s="1"/>
  <c r="D321" i="1"/>
  <c r="E321" i="1" s="1"/>
  <c r="D320" i="1"/>
  <c r="E320" i="1" s="1"/>
  <c r="D319" i="1"/>
  <c r="E319" i="1" s="1"/>
  <c r="D318" i="1"/>
  <c r="E318" i="1" s="1"/>
  <c r="D317" i="1"/>
  <c r="E317" i="1" s="1"/>
  <c r="D316" i="1"/>
  <c r="E316" i="1" s="1"/>
  <c r="D315" i="1"/>
  <c r="E315" i="1" s="1"/>
  <c r="D314" i="1"/>
  <c r="E314" i="1" s="1"/>
  <c r="D313" i="1"/>
  <c r="E313" i="1" s="1"/>
  <c r="D312" i="1"/>
  <c r="E312" i="1" s="1"/>
  <c r="D311" i="1"/>
  <c r="E311" i="1" s="1"/>
  <c r="D310" i="1"/>
  <c r="E310" i="1" s="1"/>
  <c r="D309" i="1"/>
  <c r="E309" i="1" s="1"/>
  <c r="D308" i="1"/>
  <c r="E308" i="1" s="1"/>
  <c r="D307" i="1"/>
  <c r="E307" i="1" s="1"/>
  <c r="D306" i="1"/>
  <c r="E306" i="1" s="1"/>
  <c r="D305" i="1"/>
  <c r="E305" i="1" s="1"/>
  <c r="D304" i="1"/>
  <c r="E304" i="1" s="1"/>
  <c r="D303" i="1"/>
  <c r="E303" i="1" s="1"/>
  <c r="D302" i="1"/>
  <c r="E302" i="1" s="1"/>
  <c r="D301" i="1"/>
  <c r="E301" i="1" s="1"/>
  <c r="D300" i="1"/>
  <c r="E300" i="1" s="1"/>
  <c r="D299" i="1"/>
  <c r="E299" i="1" s="1"/>
  <c r="D298" i="1"/>
  <c r="E298" i="1" s="1"/>
  <c r="D297" i="1"/>
  <c r="E297" i="1" s="1"/>
  <c r="D296" i="1"/>
  <c r="E296" i="1" s="1"/>
  <c r="D295" i="1"/>
  <c r="E295" i="1" s="1"/>
  <c r="D294" i="1"/>
  <c r="E294" i="1" s="1"/>
  <c r="D293" i="1"/>
  <c r="E293" i="1" s="1"/>
  <c r="D292" i="1"/>
  <c r="E292" i="1" s="1"/>
  <c r="D291" i="1"/>
  <c r="E291" i="1" s="1"/>
  <c r="D290" i="1"/>
  <c r="E290" i="1" s="1"/>
  <c r="D289" i="1"/>
  <c r="E289" i="1" s="1"/>
  <c r="D288" i="1"/>
  <c r="E288" i="1" s="1"/>
  <c r="D287" i="1"/>
  <c r="E287" i="1" s="1"/>
  <c r="D286" i="1"/>
  <c r="E286" i="1" s="1"/>
  <c r="D285" i="1"/>
  <c r="E285" i="1" s="1"/>
  <c r="D284" i="1"/>
  <c r="E284" i="1" s="1"/>
  <c r="D283" i="1"/>
  <c r="E283" i="1" s="1"/>
  <c r="D282" i="1"/>
  <c r="E282" i="1" s="1"/>
  <c r="D281" i="1"/>
  <c r="E281" i="1" s="1"/>
  <c r="D280" i="1"/>
  <c r="E280" i="1" s="1"/>
  <c r="D279" i="1"/>
  <c r="E279" i="1" s="1"/>
  <c r="D278" i="1"/>
  <c r="E278" i="1" s="1"/>
  <c r="D277" i="1"/>
  <c r="E277" i="1" s="1"/>
  <c r="D276" i="1"/>
  <c r="E276" i="1" s="1"/>
  <c r="D275" i="1"/>
  <c r="E275" i="1" s="1"/>
  <c r="D274" i="1"/>
  <c r="E274" i="1" s="1"/>
  <c r="D273" i="1"/>
  <c r="E273" i="1" s="1"/>
  <c r="D272" i="1"/>
  <c r="E272" i="1" s="1"/>
  <c r="D271" i="1"/>
  <c r="E271" i="1" s="1"/>
  <c r="D270" i="1"/>
  <c r="E270" i="1" s="1"/>
  <c r="D269" i="1"/>
  <c r="E269" i="1" s="1"/>
  <c r="D268" i="1"/>
  <c r="E268" i="1" s="1"/>
  <c r="D267" i="1"/>
  <c r="E267" i="1" s="1"/>
  <c r="D266" i="1"/>
  <c r="E266" i="1" s="1"/>
  <c r="D265" i="1"/>
  <c r="E265" i="1" s="1"/>
  <c r="D264" i="1"/>
  <c r="E264" i="1" s="1"/>
  <c r="D263" i="1"/>
  <c r="E263" i="1" s="1"/>
  <c r="D262" i="1"/>
  <c r="E262" i="1" s="1"/>
  <c r="D261" i="1"/>
  <c r="E261" i="1" s="1"/>
  <c r="D260" i="1"/>
  <c r="E260" i="1" s="1"/>
  <c r="D259" i="1"/>
  <c r="E259" i="1" s="1"/>
  <c r="D258" i="1"/>
  <c r="E258" i="1" s="1"/>
  <c r="D257" i="1"/>
  <c r="E257" i="1" s="1"/>
  <c r="D256" i="1"/>
  <c r="E256" i="1" s="1"/>
  <c r="D255" i="1"/>
  <c r="E255" i="1" s="1"/>
  <c r="D254" i="1"/>
  <c r="E254" i="1" s="1"/>
  <c r="D253" i="1"/>
  <c r="E253" i="1" s="1"/>
  <c r="D252" i="1"/>
  <c r="E252" i="1" s="1"/>
  <c r="D251" i="1"/>
  <c r="E251" i="1" s="1"/>
  <c r="D250" i="1"/>
  <c r="E250" i="1" s="1"/>
  <c r="D249" i="1"/>
  <c r="E249" i="1" s="1"/>
  <c r="D248" i="1"/>
  <c r="E248" i="1" s="1"/>
  <c r="D247" i="1"/>
  <c r="E247" i="1" s="1"/>
  <c r="D246" i="1"/>
  <c r="E246" i="1" s="1"/>
  <c r="D245" i="1"/>
  <c r="E245" i="1" s="1"/>
  <c r="D244" i="1"/>
  <c r="E244" i="1" s="1"/>
  <c r="D243" i="1"/>
  <c r="E243" i="1" s="1"/>
  <c r="D242" i="1"/>
  <c r="E242" i="1" s="1"/>
  <c r="D241" i="1"/>
  <c r="E241" i="1" s="1"/>
  <c r="D240" i="1"/>
  <c r="E240" i="1" s="1"/>
  <c r="D239" i="1"/>
  <c r="E239" i="1" s="1"/>
  <c r="D238" i="1"/>
  <c r="E238" i="1" s="1"/>
  <c r="D237" i="1"/>
  <c r="E237" i="1" s="1"/>
  <c r="D236" i="1"/>
  <c r="E236" i="1" s="1"/>
  <c r="D235" i="1"/>
  <c r="E235" i="1" s="1"/>
  <c r="D234" i="1"/>
  <c r="E234" i="1" s="1"/>
  <c r="D233" i="1"/>
  <c r="E233" i="1" s="1"/>
  <c r="D232" i="1"/>
  <c r="E232" i="1" s="1"/>
  <c r="D231" i="1"/>
  <c r="E231" i="1" s="1"/>
  <c r="D230" i="1"/>
  <c r="E230" i="1" s="1"/>
  <c r="D229" i="1"/>
  <c r="E229" i="1" s="1"/>
  <c r="D228" i="1"/>
  <c r="E228" i="1" s="1"/>
  <c r="D227" i="1"/>
  <c r="E227" i="1" s="1"/>
  <c r="D226" i="1"/>
  <c r="E226" i="1" s="1"/>
  <c r="D225" i="1"/>
  <c r="E225" i="1" s="1"/>
  <c r="D224" i="1"/>
  <c r="E224" i="1" s="1"/>
  <c r="D223" i="1"/>
  <c r="E223" i="1" s="1"/>
  <c r="D222" i="1"/>
  <c r="E222" i="1" s="1"/>
  <c r="D221" i="1"/>
  <c r="E221" i="1" s="1"/>
  <c r="D220" i="1"/>
  <c r="E220" i="1" s="1"/>
  <c r="D219" i="1"/>
  <c r="E219" i="1" s="1"/>
  <c r="D218" i="1"/>
  <c r="E218" i="1" s="1"/>
  <c r="D217" i="1"/>
  <c r="E217" i="1" s="1"/>
  <c r="D216" i="1"/>
  <c r="E216" i="1" s="1"/>
  <c r="D215" i="1"/>
  <c r="E215" i="1" s="1"/>
  <c r="D214" i="1"/>
  <c r="E214" i="1" s="1"/>
  <c r="D213" i="1"/>
  <c r="E213" i="1" s="1"/>
  <c r="D212" i="1"/>
  <c r="E212" i="1" s="1"/>
  <c r="D211" i="1"/>
  <c r="E211" i="1" s="1"/>
  <c r="D210" i="1"/>
  <c r="E210" i="1" s="1"/>
  <c r="D209" i="1"/>
  <c r="E209" i="1" s="1"/>
  <c r="D208" i="1"/>
  <c r="E208" i="1" s="1"/>
  <c r="D207" i="1"/>
  <c r="E207" i="1" s="1"/>
  <c r="D206" i="1"/>
  <c r="E206" i="1" s="1"/>
  <c r="D205" i="1"/>
  <c r="E205" i="1" s="1"/>
  <c r="D204" i="1"/>
  <c r="E204" i="1" s="1"/>
  <c r="D203" i="1"/>
  <c r="E203" i="1" s="1"/>
  <c r="D202" i="1"/>
  <c r="E202" i="1" s="1"/>
  <c r="D201" i="1"/>
  <c r="E201" i="1" s="1"/>
  <c r="D200" i="1"/>
  <c r="E200" i="1" s="1"/>
  <c r="D199" i="1"/>
  <c r="E199" i="1" s="1"/>
  <c r="D198" i="1"/>
  <c r="E198" i="1" s="1"/>
  <c r="D197" i="1"/>
  <c r="E197" i="1" s="1"/>
  <c r="D196" i="1"/>
  <c r="E196" i="1" s="1"/>
  <c r="D195" i="1"/>
  <c r="E195" i="1" s="1"/>
  <c r="D194" i="1"/>
  <c r="E194" i="1" s="1"/>
  <c r="D193" i="1"/>
  <c r="E193" i="1" s="1"/>
  <c r="D192" i="1"/>
  <c r="E192" i="1" s="1"/>
  <c r="D191" i="1"/>
  <c r="E191" i="1" s="1"/>
  <c r="D190" i="1"/>
  <c r="E190" i="1" s="1"/>
  <c r="D189" i="1"/>
  <c r="E189" i="1" s="1"/>
  <c r="D188" i="1"/>
  <c r="E188" i="1" s="1"/>
  <c r="D187" i="1"/>
  <c r="E187" i="1" s="1"/>
  <c r="D186" i="1"/>
  <c r="E186" i="1" s="1"/>
  <c r="D185" i="1"/>
  <c r="E185" i="1" s="1"/>
  <c r="D184" i="1"/>
  <c r="E184" i="1" s="1"/>
  <c r="D183" i="1"/>
  <c r="E183" i="1" s="1"/>
  <c r="D182" i="1"/>
  <c r="E182" i="1" s="1"/>
  <c r="D181" i="1"/>
  <c r="E181" i="1" s="1"/>
  <c r="D180" i="1"/>
  <c r="E180" i="1" s="1"/>
  <c r="D179" i="1"/>
  <c r="E179" i="1" s="1"/>
  <c r="D178" i="1"/>
  <c r="E178" i="1" s="1"/>
  <c r="D177" i="1"/>
  <c r="E177" i="1" s="1"/>
  <c r="D176" i="1"/>
  <c r="E176" i="1" s="1"/>
  <c r="D175" i="1"/>
  <c r="E175" i="1" s="1"/>
  <c r="D174" i="1"/>
  <c r="E174" i="1" s="1"/>
  <c r="D173" i="1"/>
  <c r="E173" i="1" s="1"/>
  <c r="D172" i="1"/>
  <c r="E172" i="1" s="1"/>
  <c r="D171" i="1"/>
  <c r="E171" i="1" s="1"/>
  <c r="D170" i="1"/>
  <c r="E170" i="1" s="1"/>
  <c r="D169" i="1"/>
  <c r="E169" i="1" s="1"/>
  <c r="D168" i="1"/>
  <c r="E168" i="1" s="1"/>
  <c r="D167" i="1"/>
  <c r="E167" i="1" s="1"/>
  <c r="D166" i="1"/>
  <c r="E166" i="1" s="1"/>
  <c r="D165" i="1"/>
  <c r="E165" i="1" s="1"/>
  <c r="D164" i="1"/>
  <c r="E164" i="1" s="1"/>
  <c r="D163" i="1"/>
  <c r="E163" i="1" s="1"/>
  <c r="D162" i="1"/>
  <c r="E162" i="1" s="1"/>
  <c r="D161" i="1"/>
  <c r="E161" i="1" s="1"/>
  <c r="D160" i="1"/>
  <c r="E160" i="1" s="1"/>
  <c r="D159" i="1"/>
  <c r="E159" i="1" s="1"/>
  <c r="D158" i="1"/>
  <c r="E158" i="1" s="1"/>
  <c r="D157" i="1"/>
  <c r="E157" i="1" s="1"/>
  <c r="D156" i="1"/>
  <c r="E156" i="1" s="1"/>
  <c r="D155" i="1"/>
  <c r="E155" i="1" s="1"/>
  <c r="D154" i="1"/>
  <c r="E154" i="1" s="1"/>
  <c r="D153" i="1"/>
  <c r="E153" i="1" s="1"/>
  <c r="D152" i="1"/>
  <c r="E152" i="1" s="1"/>
  <c r="D151" i="1"/>
  <c r="E151" i="1" s="1"/>
  <c r="D150" i="1"/>
  <c r="E150" i="1" s="1"/>
  <c r="D149" i="1"/>
  <c r="E149" i="1" s="1"/>
  <c r="D148" i="1"/>
  <c r="E148" i="1" s="1"/>
  <c r="D147" i="1"/>
  <c r="E147" i="1" s="1"/>
  <c r="D146" i="1"/>
  <c r="E146" i="1" s="1"/>
  <c r="D145" i="1"/>
  <c r="E145" i="1" s="1"/>
  <c r="D144" i="1"/>
  <c r="E144" i="1" s="1"/>
  <c r="D143" i="1"/>
  <c r="E143" i="1" s="1"/>
  <c r="D142" i="1"/>
  <c r="E142" i="1" s="1"/>
  <c r="D141" i="1"/>
  <c r="E141" i="1" s="1"/>
  <c r="D140" i="1"/>
  <c r="E140" i="1" s="1"/>
  <c r="D139" i="1"/>
  <c r="E139" i="1" s="1"/>
  <c r="D138" i="1"/>
  <c r="E138" i="1" s="1"/>
  <c r="D137" i="1"/>
  <c r="E137" i="1" s="1"/>
  <c r="D136" i="1"/>
  <c r="E136" i="1" s="1"/>
  <c r="D135" i="1"/>
  <c r="E135" i="1" s="1"/>
  <c r="D134" i="1"/>
  <c r="E134" i="1" s="1"/>
  <c r="D133" i="1"/>
  <c r="E133" i="1" s="1"/>
  <c r="D132" i="1"/>
  <c r="E132" i="1" s="1"/>
  <c r="D131" i="1"/>
  <c r="E131" i="1" s="1"/>
  <c r="D130" i="1"/>
  <c r="E130" i="1" s="1"/>
  <c r="D129" i="1"/>
  <c r="E129" i="1" s="1"/>
  <c r="D128" i="1"/>
  <c r="E128" i="1" s="1"/>
  <c r="D127" i="1"/>
  <c r="E127" i="1" s="1"/>
  <c r="D126" i="1"/>
  <c r="E126" i="1" s="1"/>
  <c r="D125" i="1"/>
  <c r="E125" i="1" s="1"/>
  <c r="D124" i="1"/>
  <c r="E124" i="1" s="1"/>
  <c r="D123" i="1"/>
  <c r="E123" i="1" s="1"/>
  <c r="D122" i="1"/>
  <c r="E122" i="1" s="1"/>
  <c r="D121" i="1"/>
  <c r="E121" i="1" s="1"/>
  <c r="D120" i="1"/>
  <c r="E120" i="1" s="1"/>
  <c r="D119" i="1"/>
  <c r="E119" i="1" s="1"/>
  <c r="D118" i="1"/>
  <c r="E118" i="1" s="1"/>
  <c r="D117" i="1"/>
  <c r="E117" i="1" s="1"/>
  <c r="D116" i="1"/>
  <c r="E116" i="1" s="1"/>
  <c r="D115" i="1"/>
  <c r="E115" i="1" s="1"/>
  <c r="D114" i="1"/>
  <c r="E114" i="1" s="1"/>
  <c r="D113" i="1"/>
  <c r="E113" i="1" s="1"/>
  <c r="D112" i="1"/>
  <c r="E112" i="1" s="1"/>
  <c r="D111" i="1"/>
  <c r="E111" i="1" s="1"/>
  <c r="D110" i="1"/>
  <c r="E110" i="1" s="1"/>
  <c r="D109" i="1"/>
  <c r="E109" i="1" s="1"/>
  <c r="D108" i="1"/>
  <c r="E108" i="1" s="1"/>
  <c r="D107" i="1"/>
  <c r="E107" i="1" s="1"/>
  <c r="D106" i="1"/>
  <c r="E106" i="1" s="1"/>
  <c r="D105" i="1"/>
  <c r="E105" i="1" s="1"/>
  <c r="D104" i="1"/>
  <c r="E104" i="1" s="1"/>
  <c r="D103" i="1"/>
  <c r="E103" i="1" s="1"/>
  <c r="D102" i="1"/>
  <c r="E102" i="1" s="1"/>
  <c r="D101" i="1"/>
  <c r="E101" i="1" s="1"/>
  <c r="D100" i="1"/>
  <c r="E100" i="1" s="1"/>
  <c r="D99" i="1"/>
  <c r="E99" i="1" s="1"/>
  <c r="D98" i="1"/>
  <c r="E98" i="1" s="1"/>
  <c r="D97" i="1"/>
  <c r="E97" i="1" s="1"/>
  <c r="D96" i="1"/>
  <c r="E96" i="1" s="1"/>
  <c r="D95" i="1"/>
  <c r="E95" i="1" s="1"/>
  <c r="D94" i="1"/>
  <c r="E94" i="1" s="1"/>
  <c r="D93" i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D87" i="1"/>
  <c r="E87" i="1" s="1"/>
  <c r="D86" i="1"/>
  <c r="E86" i="1" s="1"/>
  <c r="D85" i="1"/>
  <c r="E85" i="1" s="1"/>
  <c r="D84" i="1"/>
  <c r="E84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D72" i="1"/>
  <c r="E72" i="1" s="1"/>
  <c r="D71" i="1"/>
  <c r="E71" i="1" s="1"/>
  <c r="D70" i="1"/>
  <c r="E70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D57" i="1"/>
  <c r="E57" i="1" s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B11" i="1" l="1"/>
</calcChain>
</file>

<file path=xl/sharedStrings.xml><?xml version="1.0" encoding="utf-8"?>
<sst xmlns="http://schemas.openxmlformats.org/spreadsheetml/2006/main" count="20" uniqueCount="20">
  <si>
    <t>Option européenne</t>
  </si>
  <si>
    <t>St</t>
  </si>
  <si>
    <t>Payoff</t>
  </si>
  <si>
    <t>Option Type</t>
  </si>
  <si>
    <t>Call</t>
  </si>
  <si>
    <t>Max(St-K,0)</t>
  </si>
  <si>
    <t>Sous-jacent So</t>
  </si>
  <si>
    <t>Put</t>
  </si>
  <si>
    <t>Max(K-St,0)</t>
  </si>
  <si>
    <t>Prix d'exercice K</t>
  </si>
  <si>
    <t>Maturité T</t>
  </si>
  <si>
    <t>Wt</t>
  </si>
  <si>
    <t>ε*sqrt(t)</t>
  </si>
  <si>
    <t>NORM.S.INV(RAND())* sqrt(T)</t>
  </si>
  <si>
    <t>Taux sans risk</t>
  </si>
  <si>
    <t>Volatilité (sigma)</t>
  </si>
  <si>
    <t>où ε suit une loi normale, φ (0,1)</t>
  </si>
  <si>
    <t>Resultat</t>
  </si>
  <si>
    <t>Premium</t>
  </si>
  <si>
    <t>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</si>
</sst>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0" fontId="2" fillId="0" borderId="0" xfId="0" applyFont="1"/>
    <xf numFmtId="0" fontId="2" fillId="4" borderId="2" xfId="0" applyFont="1" applyFill="1" applyBorder="1"/>
    <xf numFmtId="9" fontId="2" fillId="5" borderId="2" xfId="0" applyNumberFormat="1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12</xdr:row>
      <xdr:rowOff>133350</xdr:rowOff>
    </xdr:from>
    <xdr:to>
      <xdr:col>10</xdr:col>
      <xdr:colOff>57150</xdr:colOff>
      <xdr:row>16</xdr:row>
      <xdr:rowOff>68843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AD1A55-50AC-40AE-9E98-42F5E78A9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8901" y="2971800"/>
          <a:ext cx="4810124" cy="887993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285750</xdr:colOff>
      <xdr:row>8</xdr:row>
      <xdr:rowOff>104776</xdr:rowOff>
    </xdr:from>
    <xdr:to>
      <xdr:col>10</xdr:col>
      <xdr:colOff>48517</xdr:colOff>
      <xdr:row>10</xdr:row>
      <xdr:rowOff>170770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680CE3-67B4-4DB2-8877-C08C005EE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81800" y="1990726"/>
          <a:ext cx="4458592" cy="542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7030-2610-4FD8-B3C3-7C2A3FCC5D08}">
  <sheetPr codeName="Sheet1"/>
  <dimension ref="A1:I1446"/>
  <sheetViews>
    <sheetView tabSelected="1" zoomScale="112" zoomScaleNormal="112" workbookViewId="0">
      <selection activeCell="B12" sqref="B12"/>
    </sheetView>
  </sheetViews>
  <sheetFormatPr defaultRowHeight="15" x14ac:dyDescent="0.25"/>
  <cols>
    <col min="1" max="1" width="19" customWidth="1"/>
    <col min="2" max="2" width="16.5703125" customWidth="1"/>
    <col min="4" max="4" width="22.42578125" customWidth="1"/>
    <col min="5" max="5" width="23" customWidth="1"/>
    <col min="6" max="6" width="7.28515625" customWidth="1"/>
    <col min="7" max="7" width="25.5703125" customWidth="1"/>
    <col min="8" max="8" width="19.28515625" customWidth="1"/>
    <col min="9" max="9" width="16.42578125" customWidth="1"/>
  </cols>
  <sheetData>
    <row r="1" spans="1:9" ht="18.75" x14ac:dyDescent="0.3">
      <c r="A1" s="1" t="s">
        <v>0</v>
      </c>
      <c r="B1" s="1"/>
      <c r="D1" s="2" t="s">
        <v>1</v>
      </c>
      <c r="E1" s="2" t="s">
        <v>2</v>
      </c>
    </row>
    <row r="2" spans="1:9" ht="18.75" x14ac:dyDescent="0.3">
      <c r="A2" s="3"/>
      <c r="B2" s="3"/>
      <c r="C2" s="3"/>
      <c r="D2" s="3">
        <f ca="1">$B$4*EXP(($B$7-$B$8*$B$8*0.5)*$B$6+$B$8*SQRT($B$6)*_xlfn.NORM.S.INV(RAND()))</f>
        <v>174.22524085842127</v>
      </c>
      <c r="E2" s="3">
        <f ca="1">MAX(D2-$B$5,0)</f>
        <v>74.225240858421273</v>
      </c>
      <c r="F2" s="3"/>
      <c r="G2" s="3"/>
      <c r="H2" s="3"/>
      <c r="I2" s="3"/>
    </row>
    <row r="3" spans="1:9" ht="18.75" x14ac:dyDescent="0.3">
      <c r="A3" s="4" t="s">
        <v>3</v>
      </c>
      <c r="B3" s="5" t="s">
        <v>19</v>
      </c>
      <c r="C3" s="3"/>
      <c r="D3" s="3">
        <f t="shared" ref="D3:D66" ca="1" si="0">$B$4*EXP(($B$7-$B$8*$B$8*0.5)*$B$6+$B$8*SQRT($B$6)*_xlfn.NORM.S.INV(RAND()))</f>
        <v>108.65256679739039</v>
      </c>
      <c r="E3" s="3">
        <f t="shared" ref="E3:E66" ca="1" si="1">IF($B$3="call",MAX(D3-$B$5,0),MAX($B$5-D3,0))</f>
        <v>8.6525667973903921</v>
      </c>
      <c r="F3" s="3"/>
      <c r="G3" s="3" t="s">
        <v>4</v>
      </c>
      <c r="H3" s="3" t="s">
        <v>5</v>
      </c>
      <c r="I3" s="3"/>
    </row>
    <row r="4" spans="1:9" ht="18.75" x14ac:dyDescent="0.3">
      <c r="A4" s="4" t="s">
        <v>6</v>
      </c>
      <c r="B4" s="6">
        <v>100</v>
      </c>
      <c r="C4" s="3"/>
      <c r="D4" s="3">
        <f t="shared" ca="1" si="0"/>
        <v>175.17893648098038</v>
      </c>
      <c r="E4" s="3">
        <f t="shared" ca="1" si="1"/>
        <v>75.178936480980383</v>
      </c>
      <c r="F4" s="3"/>
      <c r="G4" s="3" t="s">
        <v>7</v>
      </c>
      <c r="H4" s="3" t="s">
        <v>8</v>
      </c>
      <c r="I4" s="3"/>
    </row>
    <row r="5" spans="1:9" ht="18.75" x14ac:dyDescent="0.3">
      <c r="A5" s="4" t="s">
        <v>9</v>
      </c>
      <c r="B5" s="6">
        <v>100</v>
      </c>
      <c r="C5" s="3"/>
      <c r="D5" s="3">
        <f t="shared" ca="1" si="0"/>
        <v>105.11992681300599</v>
      </c>
      <c r="E5" s="3">
        <f t="shared" ca="1" si="1"/>
        <v>5.1199268130059892</v>
      </c>
      <c r="F5" s="3"/>
      <c r="G5" s="3"/>
      <c r="H5" s="3"/>
      <c r="I5" s="3"/>
    </row>
    <row r="6" spans="1:9" ht="18.75" x14ac:dyDescent="0.3">
      <c r="A6" s="4" t="s">
        <v>10</v>
      </c>
      <c r="B6" s="6">
        <v>2</v>
      </c>
      <c r="C6" s="3"/>
      <c r="D6" s="3">
        <f t="shared" ca="1" si="0"/>
        <v>103.3217575283735</v>
      </c>
      <c r="E6" s="3">
        <f t="shared" ca="1" si="1"/>
        <v>3.3217575283734959</v>
      </c>
      <c r="F6" s="3"/>
      <c r="G6" s="3" t="s">
        <v>11</v>
      </c>
      <c r="H6" s="3" t="s">
        <v>12</v>
      </c>
      <c r="I6" s="3" t="s">
        <v>13</v>
      </c>
    </row>
    <row r="7" spans="1:9" ht="18.75" x14ac:dyDescent="0.3">
      <c r="A7" s="4" t="s">
        <v>14</v>
      </c>
      <c r="B7" s="5">
        <v>0.1</v>
      </c>
      <c r="C7" s="3"/>
      <c r="D7" s="3">
        <f t="shared" ca="1" si="0"/>
        <v>123.90393207794585</v>
      </c>
      <c r="E7" s="3">
        <f t="shared" ca="1" si="1"/>
        <v>23.903932077945854</v>
      </c>
      <c r="F7" s="3"/>
      <c r="G7" s="3"/>
      <c r="H7" s="3"/>
      <c r="I7" s="3"/>
    </row>
    <row r="8" spans="1:9" ht="17.25" customHeight="1" x14ac:dyDescent="0.3">
      <c r="A8" s="4" t="s">
        <v>15</v>
      </c>
      <c r="B8" s="5">
        <v>0.2</v>
      </c>
      <c r="C8" s="3"/>
      <c r="D8" s="3">
        <f t="shared" ca="1" si="0"/>
        <v>110.34611762320156</v>
      </c>
      <c r="E8" s="3">
        <f t="shared" ca="1" si="1"/>
        <v>10.346117623201565</v>
      </c>
      <c r="F8" s="3"/>
      <c r="G8" s="3"/>
      <c r="H8" s="3" t="s">
        <v>16</v>
      </c>
      <c r="I8" s="3"/>
    </row>
    <row r="9" spans="1:9" ht="18.75" x14ac:dyDescent="0.3">
      <c r="A9" s="3"/>
      <c r="B9" s="3"/>
      <c r="C9" s="3"/>
      <c r="D9" s="3">
        <f t="shared" ca="1" si="0"/>
        <v>102.79415852450582</v>
      </c>
      <c r="E9" s="3">
        <f t="shared" ca="1" si="1"/>
        <v>2.7941585245058178</v>
      </c>
      <c r="F9" s="3"/>
      <c r="G9" s="3"/>
      <c r="H9" s="3"/>
      <c r="I9" s="3"/>
    </row>
    <row r="10" spans="1:9" ht="18.75" x14ac:dyDescent="0.3">
      <c r="A10" s="7" t="s">
        <v>17</v>
      </c>
      <c r="B10" s="8"/>
      <c r="C10" s="3"/>
      <c r="D10" s="3">
        <f t="shared" ca="1" si="0"/>
        <v>205.76947975676592</v>
      </c>
      <c r="E10" s="3">
        <f t="shared" ca="1" si="1"/>
        <v>105.76947975676592</v>
      </c>
      <c r="F10" s="3"/>
      <c r="G10" s="3"/>
      <c r="H10" s="3"/>
      <c r="I10" s="3"/>
    </row>
    <row r="11" spans="1:9" ht="18.75" x14ac:dyDescent="0.3">
      <c r="A11" s="9" t="s">
        <v>18</v>
      </c>
      <c r="B11" s="10">
        <f ca="1">AVERAGE(E2:E1446)*EXP(-$B$7*B6)</f>
        <v>21.631725377138775</v>
      </c>
      <c r="C11" s="3"/>
      <c r="D11" s="3">
        <f t="shared" ca="1" si="0"/>
        <v>176.88474893828987</v>
      </c>
      <c r="E11" s="3">
        <f t="shared" ca="1" si="1"/>
        <v>76.884748938289874</v>
      </c>
      <c r="F11" s="3"/>
      <c r="G11" s="3"/>
      <c r="H11" s="3"/>
      <c r="I11" s="3"/>
    </row>
    <row r="12" spans="1:9" ht="18.75" x14ac:dyDescent="0.3">
      <c r="A12" s="3"/>
      <c r="B12" s="3"/>
      <c r="C12" s="3"/>
      <c r="D12" s="3">
        <f t="shared" ca="1" si="0"/>
        <v>69.440244384892637</v>
      </c>
      <c r="E12" s="3">
        <f t="shared" ca="1" si="1"/>
        <v>0</v>
      </c>
      <c r="F12" s="3"/>
      <c r="G12" s="3"/>
      <c r="H12" s="3"/>
      <c r="I12" s="3"/>
    </row>
    <row r="13" spans="1:9" ht="18.75" x14ac:dyDescent="0.3">
      <c r="D13" s="3">
        <f t="shared" ca="1" si="0"/>
        <v>109.11602933248021</v>
      </c>
      <c r="E13" s="3">
        <f t="shared" ca="1" si="1"/>
        <v>9.1160293324802097</v>
      </c>
    </row>
    <row r="14" spans="1:9" ht="18.75" x14ac:dyDescent="0.3">
      <c r="D14" s="3">
        <f t="shared" ca="1" si="0"/>
        <v>80.61443475628667</v>
      </c>
      <c r="E14" s="3">
        <f t="shared" ca="1" si="1"/>
        <v>0</v>
      </c>
    </row>
    <row r="15" spans="1:9" ht="18.75" x14ac:dyDescent="0.3">
      <c r="D15" s="3">
        <f t="shared" ca="1" si="0"/>
        <v>132.30948304872157</v>
      </c>
      <c r="E15" s="3">
        <f t="shared" ca="1" si="1"/>
        <v>32.309483048721575</v>
      </c>
    </row>
    <row r="16" spans="1:9" ht="18.75" x14ac:dyDescent="0.3">
      <c r="D16" s="3">
        <f t="shared" ca="1" si="0"/>
        <v>79.821881149644668</v>
      </c>
      <c r="E16" s="3">
        <f t="shared" ca="1" si="1"/>
        <v>0</v>
      </c>
    </row>
    <row r="17" spans="4:5" ht="18.75" x14ac:dyDescent="0.3">
      <c r="D17" s="3">
        <f t="shared" ca="1" si="0"/>
        <v>88.494255168445122</v>
      </c>
      <c r="E17" s="3">
        <f t="shared" ca="1" si="1"/>
        <v>0</v>
      </c>
    </row>
    <row r="18" spans="4:5" ht="18.75" x14ac:dyDescent="0.3">
      <c r="D18" s="3">
        <f t="shared" ca="1" si="0"/>
        <v>118.73119928902769</v>
      </c>
      <c r="E18" s="3">
        <f t="shared" ca="1" si="1"/>
        <v>18.731199289027685</v>
      </c>
    </row>
    <row r="19" spans="4:5" ht="18.75" x14ac:dyDescent="0.3">
      <c r="D19" s="3">
        <f t="shared" ca="1" si="0"/>
        <v>161.55300584495652</v>
      </c>
      <c r="E19" s="3">
        <f t="shared" ca="1" si="1"/>
        <v>61.553005844956516</v>
      </c>
    </row>
    <row r="20" spans="4:5" ht="18.75" x14ac:dyDescent="0.3">
      <c r="D20" s="3">
        <f t="shared" ca="1" si="0"/>
        <v>125.25768052364801</v>
      </c>
      <c r="E20" s="3">
        <f t="shared" ca="1" si="1"/>
        <v>25.257680523648006</v>
      </c>
    </row>
    <row r="21" spans="4:5" ht="18.75" x14ac:dyDescent="0.3">
      <c r="D21" s="3">
        <f t="shared" ca="1" si="0"/>
        <v>128.86338995963621</v>
      </c>
      <c r="E21" s="3">
        <f t="shared" ca="1" si="1"/>
        <v>28.863389959636208</v>
      </c>
    </row>
    <row r="22" spans="4:5" ht="18.75" x14ac:dyDescent="0.3">
      <c r="D22" s="3">
        <f t="shared" ca="1" si="0"/>
        <v>58.892954491127391</v>
      </c>
      <c r="E22" s="3">
        <f t="shared" ca="1" si="1"/>
        <v>0</v>
      </c>
    </row>
    <row r="23" spans="4:5" ht="18.75" x14ac:dyDescent="0.3">
      <c r="D23" s="3">
        <f t="shared" ca="1" si="0"/>
        <v>86.764765465427033</v>
      </c>
      <c r="E23" s="3">
        <f t="shared" ca="1" si="1"/>
        <v>0</v>
      </c>
    </row>
    <row r="24" spans="4:5" ht="18.75" x14ac:dyDescent="0.3">
      <c r="D24" s="3">
        <f t="shared" ca="1" si="0"/>
        <v>125.82945211308775</v>
      </c>
      <c r="E24" s="3">
        <f t="shared" ca="1" si="1"/>
        <v>25.829452113087754</v>
      </c>
    </row>
    <row r="25" spans="4:5" ht="18.75" x14ac:dyDescent="0.3">
      <c r="D25" s="3">
        <f t="shared" ca="1" si="0"/>
        <v>129.6599819602298</v>
      </c>
      <c r="E25" s="3">
        <f t="shared" ca="1" si="1"/>
        <v>29.6599819602298</v>
      </c>
    </row>
    <row r="26" spans="4:5" ht="18.75" x14ac:dyDescent="0.3">
      <c r="D26" s="3">
        <f t="shared" ca="1" si="0"/>
        <v>84.10402513337884</v>
      </c>
      <c r="E26" s="3">
        <f t="shared" ca="1" si="1"/>
        <v>0</v>
      </c>
    </row>
    <row r="27" spans="4:5" ht="18.75" x14ac:dyDescent="0.3">
      <c r="D27" s="3">
        <f t="shared" ca="1" si="0"/>
        <v>90.074216323811598</v>
      </c>
      <c r="E27" s="3">
        <f t="shared" ca="1" si="1"/>
        <v>0</v>
      </c>
    </row>
    <row r="28" spans="4:5" ht="18.75" x14ac:dyDescent="0.3">
      <c r="D28" s="3">
        <f t="shared" ca="1" si="0"/>
        <v>127.25451880751105</v>
      </c>
      <c r="E28" s="3">
        <f t="shared" ca="1" si="1"/>
        <v>27.254518807511047</v>
      </c>
    </row>
    <row r="29" spans="4:5" ht="18.75" x14ac:dyDescent="0.3">
      <c r="D29" s="3">
        <f t="shared" ca="1" si="0"/>
        <v>150.06500310062617</v>
      </c>
      <c r="E29" s="3">
        <f t="shared" ca="1" si="1"/>
        <v>50.065003100626171</v>
      </c>
    </row>
    <row r="30" spans="4:5" ht="18.75" x14ac:dyDescent="0.3">
      <c r="D30" s="3">
        <f t="shared" ca="1" si="0"/>
        <v>107.02956627169354</v>
      </c>
      <c r="E30" s="3">
        <f t="shared" ca="1" si="1"/>
        <v>7.0295662716935396</v>
      </c>
    </row>
    <row r="31" spans="4:5" ht="18.75" x14ac:dyDescent="0.3">
      <c r="D31" s="3">
        <f t="shared" ca="1" si="0"/>
        <v>110.34718490598556</v>
      </c>
      <c r="E31" s="3">
        <f t="shared" ca="1" si="1"/>
        <v>10.347184905985557</v>
      </c>
    </row>
    <row r="32" spans="4:5" ht="18.75" x14ac:dyDescent="0.3">
      <c r="D32" s="3">
        <f t="shared" ca="1" si="0"/>
        <v>143.24826408387281</v>
      </c>
      <c r="E32" s="3">
        <f t="shared" ca="1" si="1"/>
        <v>43.248264083872812</v>
      </c>
    </row>
    <row r="33" spans="4:5" ht="18.75" x14ac:dyDescent="0.3">
      <c r="D33" s="3">
        <f t="shared" ca="1" si="0"/>
        <v>114.10101967727064</v>
      </c>
      <c r="E33" s="3">
        <f t="shared" ca="1" si="1"/>
        <v>14.101019677270642</v>
      </c>
    </row>
    <row r="34" spans="4:5" ht="18.75" x14ac:dyDescent="0.3">
      <c r="D34" s="3">
        <f t="shared" ca="1" si="0"/>
        <v>99.788231337926831</v>
      </c>
      <c r="E34" s="3">
        <f t="shared" ca="1" si="1"/>
        <v>0</v>
      </c>
    </row>
    <row r="35" spans="4:5" ht="18.75" x14ac:dyDescent="0.3">
      <c r="D35" s="3">
        <f t="shared" ca="1" si="0"/>
        <v>96.059239624602611</v>
      </c>
      <c r="E35" s="3">
        <f t="shared" ca="1" si="1"/>
        <v>0</v>
      </c>
    </row>
    <row r="36" spans="4:5" ht="18.75" x14ac:dyDescent="0.3">
      <c r="D36" s="3">
        <f t="shared" ca="1" si="0"/>
        <v>166.643466545992</v>
      </c>
      <c r="E36" s="3">
        <f t="shared" ca="1" si="1"/>
        <v>66.643466545991998</v>
      </c>
    </row>
    <row r="37" spans="4:5" ht="18.75" x14ac:dyDescent="0.3">
      <c r="D37" s="3">
        <f t="shared" ca="1" si="0"/>
        <v>147.28597295581241</v>
      </c>
      <c r="E37" s="3">
        <f t="shared" ca="1" si="1"/>
        <v>47.285972955812412</v>
      </c>
    </row>
    <row r="38" spans="4:5" ht="18.75" x14ac:dyDescent="0.3">
      <c r="D38" s="3">
        <f t="shared" ca="1" si="0"/>
        <v>181.59899798598346</v>
      </c>
      <c r="E38" s="3">
        <f t="shared" ca="1" si="1"/>
        <v>81.598997985983459</v>
      </c>
    </row>
    <row r="39" spans="4:5" ht="18.75" x14ac:dyDescent="0.3">
      <c r="D39" s="3">
        <f t="shared" ca="1" si="0"/>
        <v>134.72152013132356</v>
      </c>
      <c r="E39" s="3">
        <f t="shared" ca="1" si="1"/>
        <v>34.721520131323558</v>
      </c>
    </row>
    <row r="40" spans="4:5" ht="18.75" x14ac:dyDescent="0.3">
      <c r="D40" s="3">
        <f t="shared" ca="1" si="0"/>
        <v>135.7354051477173</v>
      </c>
      <c r="E40" s="3">
        <f t="shared" ca="1" si="1"/>
        <v>35.735405147717302</v>
      </c>
    </row>
    <row r="41" spans="4:5" ht="18.75" x14ac:dyDescent="0.3">
      <c r="D41" s="3">
        <f t="shared" ca="1" si="0"/>
        <v>160.86566967391889</v>
      </c>
      <c r="E41" s="3">
        <f t="shared" ca="1" si="1"/>
        <v>60.865669673918887</v>
      </c>
    </row>
    <row r="42" spans="4:5" ht="18.75" x14ac:dyDescent="0.3">
      <c r="D42" s="3">
        <f t="shared" ca="1" si="0"/>
        <v>168.11587739054613</v>
      </c>
      <c r="E42" s="3">
        <f t="shared" ca="1" si="1"/>
        <v>68.115877390546132</v>
      </c>
    </row>
    <row r="43" spans="4:5" ht="18.75" x14ac:dyDescent="0.3">
      <c r="D43" s="3">
        <f t="shared" ca="1" si="0"/>
        <v>122.75795884309213</v>
      </c>
      <c r="E43" s="3">
        <f t="shared" ca="1" si="1"/>
        <v>22.757958843092126</v>
      </c>
    </row>
    <row r="44" spans="4:5" ht="18.75" x14ac:dyDescent="0.3">
      <c r="D44" s="3">
        <f t="shared" ca="1" si="0"/>
        <v>92.418236977165648</v>
      </c>
      <c r="E44" s="3">
        <f t="shared" ca="1" si="1"/>
        <v>0</v>
      </c>
    </row>
    <row r="45" spans="4:5" ht="18.75" x14ac:dyDescent="0.3">
      <c r="D45" s="3">
        <f t="shared" ca="1" si="0"/>
        <v>143.72527648194608</v>
      </c>
      <c r="E45" s="3">
        <f t="shared" ca="1" si="1"/>
        <v>43.725276481946082</v>
      </c>
    </row>
    <row r="46" spans="4:5" ht="18.75" x14ac:dyDescent="0.3">
      <c r="D46" s="3">
        <f t="shared" ca="1" si="0"/>
        <v>120.65762676515415</v>
      </c>
      <c r="E46" s="3">
        <f t="shared" ca="1" si="1"/>
        <v>20.657626765154149</v>
      </c>
    </row>
    <row r="47" spans="4:5" ht="18.75" x14ac:dyDescent="0.3">
      <c r="D47" s="3">
        <f t="shared" ca="1" si="0"/>
        <v>63.990216340654172</v>
      </c>
      <c r="E47" s="3">
        <f t="shared" ca="1" si="1"/>
        <v>0</v>
      </c>
    </row>
    <row r="48" spans="4:5" ht="18.75" x14ac:dyDescent="0.3">
      <c r="D48" s="3">
        <f t="shared" ca="1" si="0"/>
        <v>165.26632966957345</v>
      </c>
      <c r="E48" s="3">
        <f t="shared" ca="1" si="1"/>
        <v>65.266329669573452</v>
      </c>
    </row>
    <row r="49" spans="4:5" ht="18.75" x14ac:dyDescent="0.3">
      <c r="D49" s="3">
        <f t="shared" ca="1" si="0"/>
        <v>94.873552258135589</v>
      </c>
      <c r="E49" s="3">
        <f t="shared" ca="1" si="1"/>
        <v>0</v>
      </c>
    </row>
    <row r="50" spans="4:5" ht="18.75" x14ac:dyDescent="0.3">
      <c r="D50" s="3">
        <f t="shared" ca="1" si="0"/>
        <v>145.32342861506424</v>
      </c>
      <c r="E50" s="3">
        <f t="shared" ca="1" si="1"/>
        <v>45.323428615064245</v>
      </c>
    </row>
    <row r="51" spans="4:5" ht="18.75" x14ac:dyDescent="0.3">
      <c r="D51" s="3">
        <f t="shared" ca="1" si="0"/>
        <v>223.78682122308427</v>
      </c>
      <c r="E51" s="3">
        <f t="shared" ca="1" si="1"/>
        <v>123.78682122308427</v>
      </c>
    </row>
    <row r="52" spans="4:5" ht="18.75" x14ac:dyDescent="0.3">
      <c r="D52" s="3">
        <f t="shared" ca="1" si="0"/>
        <v>97.828349143310703</v>
      </c>
      <c r="E52" s="3">
        <f t="shared" ca="1" si="1"/>
        <v>0</v>
      </c>
    </row>
    <row r="53" spans="4:5" ht="18.75" x14ac:dyDescent="0.3">
      <c r="D53" s="3">
        <f t="shared" ca="1" si="0"/>
        <v>139.195420873302</v>
      </c>
      <c r="E53" s="3">
        <f t="shared" ca="1" si="1"/>
        <v>39.195420873301998</v>
      </c>
    </row>
    <row r="54" spans="4:5" ht="18.75" x14ac:dyDescent="0.3">
      <c r="D54" s="3">
        <f t="shared" ca="1" si="0"/>
        <v>116.95507627077033</v>
      </c>
      <c r="E54" s="3">
        <f t="shared" ca="1" si="1"/>
        <v>16.955076270770334</v>
      </c>
    </row>
    <row r="55" spans="4:5" ht="18.75" x14ac:dyDescent="0.3">
      <c r="D55" s="3">
        <f t="shared" ca="1" si="0"/>
        <v>92.287244774461271</v>
      </c>
      <c r="E55" s="3">
        <f t="shared" ca="1" si="1"/>
        <v>0</v>
      </c>
    </row>
    <row r="56" spans="4:5" ht="18.75" x14ac:dyDescent="0.3">
      <c r="D56" s="3">
        <f t="shared" ca="1" si="0"/>
        <v>216.36365242246504</v>
      </c>
      <c r="E56" s="3">
        <f t="shared" ca="1" si="1"/>
        <v>116.36365242246504</v>
      </c>
    </row>
    <row r="57" spans="4:5" ht="18.75" x14ac:dyDescent="0.3">
      <c r="D57" s="3">
        <f t="shared" ca="1" si="0"/>
        <v>81.969534387011265</v>
      </c>
      <c r="E57" s="3">
        <f t="shared" ca="1" si="1"/>
        <v>0</v>
      </c>
    </row>
    <row r="58" spans="4:5" ht="18.75" x14ac:dyDescent="0.3">
      <c r="D58" s="3">
        <f t="shared" ca="1" si="0"/>
        <v>161.42640353268416</v>
      </c>
      <c r="E58" s="3">
        <f t="shared" ca="1" si="1"/>
        <v>61.426403532684162</v>
      </c>
    </row>
    <row r="59" spans="4:5" ht="18.75" x14ac:dyDescent="0.3">
      <c r="D59" s="3">
        <f t="shared" ca="1" si="0"/>
        <v>109.9851829251661</v>
      </c>
      <c r="E59" s="3">
        <f t="shared" ca="1" si="1"/>
        <v>9.9851829251661002</v>
      </c>
    </row>
    <row r="60" spans="4:5" ht="18.75" x14ac:dyDescent="0.3">
      <c r="D60" s="3">
        <f t="shared" ca="1" si="0"/>
        <v>139.11273868546976</v>
      </c>
      <c r="E60" s="3">
        <f t="shared" ca="1" si="1"/>
        <v>39.112738685469765</v>
      </c>
    </row>
    <row r="61" spans="4:5" ht="18.75" x14ac:dyDescent="0.3">
      <c r="D61" s="3">
        <f t="shared" ca="1" si="0"/>
        <v>147.627163244386</v>
      </c>
      <c r="E61" s="3">
        <f t="shared" ca="1" si="1"/>
        <v>47.627163244385997</v>
      </c>
    </row>
    <row r="62" spans="4:5" ht="18.75" x14ac:dyDescent="0.3">
      <c r="D62" s="3">
        <f t="shared" ca="1" si="0"/>
        <v>138.41678412129133</v>
      </c>
      <c r="E62" s="3">
        <f t="shared" ca="1" si="1"/>
        <v>38.416784121291329</v>
      </c>
    </row>
    <row r="63" spans="4:5" ht="18.75" x14ac:dyDescent="0.3">
      <c r="D63" s="3">
        <f t="shared" ca="1" si="0"/>
        <v>173.68288867885434</v>
      </c>
      <c r="E63" s="3">
        <f t="shared" ca="1" si="1"/>
        <v>73.68288867885434</v>
      </c>
    </row>
    <row r="64" spans="4:5" ht="18.75" x14ac:dyDescent="0.3">
      <c r="D64" s="3">
        <f t="shared" ca="1" si="0"/>
        <v>97.060518635550551</v>
      </c>
      <c r="E64" s="3">
        <f t="shared" ca="1" si="1"/>
        <v>0</v>
      </c>
    </row>
    <row r="65" spans="4:5" ht="18.75" x14ac:dyDescent="0.3">
      <c r="D65" s="3">
        <f t="shared" ca="1" si="0"/>
        <v>198.11464627824768</v>
      </c>
      <c r="E65" s="3">
        <f t="shared" ca="1" si="1"/>
        <v>98.114646278247676</v>
      </c>
    </row>
    <row r="66" spans="4:5" ht="18.75" x14ac:dyDescent="0.3">
      <c r="D66" s="3">
        <f t="shared" ca="1" si="0"/>
        <v>191.70161674606723</v>
      </c>
      <c r="E66" s="3">
        <f t="shared" ca="1" si="1"/>
        <v>91.701616746067231</v>
      </c>
    </row>
    <row r="67" spans="4:5" ht="18.75" x14ac:dyDescent="0.3">
      <c r="D67" s="3">
        <f t="shared" ref="D67:D130" ca="1" si="2">$B$4*EXP(($B$7-$B$8*$B$8*0.5)*$B$6+$B$8*SQRT($B$6)*_xlfn.NORM.S.INV(RAND()))</f>
        <v>98.590449898095954</v>
      </c>
      <c r="E67" s="3">
        <f t="shared" ref="E67:E130" ca="1" si="3">IF($B$3="call",MAX(D67-$B$5,0),MAX($B$5-D67,0))</f>
        <v>0</v>
      </c>
    </row>
    <row r="68" spans="4:5" ht="18.75" x14ac:dyDescent="0.3">
      <c r="D68" s="3">
        <f t="shared" ca="1" si="2"/>
        <v>81.836795710523916</v>
      </c>
      <c r="E68" s="3">
        <f t="shared" ca="1" si="3"/>
        <v>0</v>
      </c>
    </row>
    <row r="69" spans="4:5" ht="18.75" x14ac:dyDescent="0.3">
      <c r="D69" s="3">
        <f t="shared" ca="1" si="2"/>
        <v>121.8609660696798</v>
      </c>
      <c r="E69" s="3">
        <f t="shared" ca="1" si="3"/>
        <v>21.860966069679804</v>
      </c>
    </row>
    <row r="70" spans="4:5" ht="18.75" x14ac:dyDescent="0.3">
      <c r="D70" s="3">
        <f t="shared" ca="1" si="2"/>
        <v>90.209081458201183</v>
      </c>
      <c r="E70" s="3">
        <f t="shared" ca="1" si="3"/>
        <v>0</v>
      </c>
    </row>
    <row r="71" spans="4:5" ht="18.75" x14ac:dyDescent="0.3">
      <c r="D71" s="3">
        <f t="shared" ca="1" si="2"/>
        <v>140.87986078650519</v>
      </c>
      <c r="E71" s="3">
        <f t="shared" ca="1" si="3"/>
        <v>40.879860786505191</v>
      </c>
    </row>
    <row r="72" spans="4:5" ht="18.75" x14ac:dyDescent="0.3">
      <c r="D72" s="3">
        <f t="shared" ca="1" si="2"/>
        <v>105.25206692158844</v>
      </c>
      <c r="E72" s="3">
        <f t="shared" ca="1" si="3"/>
        <v>5.2520669215884368</v>
      </c>
    </row>
    <row r="73" spans="4:5" ht="18.75" x14ac:dyDescent="0.3">
      <c r="D73" s="3">
        <f t="shared" ca="1" si="2"/>
        <v>130.5311169441801</v>
      </c>
      <c r="E73" s="3">
        <f t="shared" ca="1" si="3"/>
        <v>30.531116944180098</v>
      </c>
    </row>
    <row r="74" spans="4:5" ht="18.75" x14ac:dyDescent="0.3">
      <c r="D74" s="3">
        <f t="shared" ca="1" si="2"/>
        <v>156.78400664731694</v>
      </c>
      <c r="E74" s="3">
        <f t="shared" ca="1" si="3"/>
        <v>56.784006647316943</v>
      </c>
    </row>
    <row r="75" spans="4:5" ht="18.75" x14ac:dyDescent="0.3">
      <c r="D75" s="3">
        <f t="shared" ca="1" si="2"/>
        <v>144.43678172488612</v>
      </c>
      <c r="E75" s="3">
        <f t="shared" ca="1" si="3"/>
        <v>44.436781724886117</v>
      </c>
    </row>
    <row r="76" spans="4:5" ht="18.75" x14ac:dyDescent="0.3">
      <c r="D76" s="3">
        <f t="shared" ca="1" si="2"/>
        <v>106.31992730742262</v>
      </c>
      <c r="E76" s="3">
        <f t="shared" ca="1" si="3"/>
        <v>6.319927307422617</v>
      </c>
    </row>
    <row r="77" spans="4:5" ht="18.75" x14ac:dyDescent="0.3">
      <c r="D77" s="3">
        <f t="shared" ca="1" si="2"/>
        <v>133.91206006992974</v>
      </c>
      <c r="E77" s="3">
        <f t="shared" ca="1" si="3"/>
        <v>33.912060069929737</v>
      </c>
    </row>
    <row r="78" spans="4:5" ht="18.75" x14ac:dyDescent="0.3">
      <c r="D78" s="3">
        <f t="shared" ca="1" si="2"/>
        <v>189.4939720465419</v>
      </c>
      <c r="E78" s="3">
        <f t="shared" ca="1" si="3"/>
        <v>89.493972046541899</v>
      </c>
    </row>
    <row r="79" spans="4:5" ht="18.75" x14ac:dyDescent="0.3">
      <c r="D79" s="3">
        <f t="shared" ca="1" si="2"/>
        <v>78.251299307471186</v>
      </c>
      <c r="E79" s="3">
        <f t="shared" ca="1" si="3"/>
        <v>0</v>
      </c>
    </row>
    <row r="80" spans="4:5" ht="18.75" x14ac:dyDescent="0.3">
      <c r="D80" s="3">
        <f t="shared" ca="1" si="2"/>
        <v>175.79205629897706</v>
      </c>
      <c r="E80" s="3">
        <f t="shared" ca="1" si="3"/>
        <v>75.792056298977059</v>
      </c>
    </row>
    <row r="81" spans="4:5" ht="18.75" x14ac:dyDescent="0.3">
      <c r="D81" s="3">
        <f t="shared" ca="1" si="2"/>
        <v>196.62625057238321</v>
      </c>
      <c r="E81" s="3">
        <f t="shared" ca="1" si="3"/>
        <v>96.626250572383213</v>
      </c>
    </row>
    <row r="82" spans="4:5" ht="18.75" x14ac:dyDescent="0.3">
      <c r="D82" s="3">
        <f t="shared" ca="1" si="2"/>
        <v>69.474824351065465</v>
      </c>
      <c r="E82" s="3">
        <f t="shared" ca="1" si="3"/>
        <v>0</v>
      </c>
    </row>
    <row r="83" spans="4:5" ht="18.75" x14ac:dyDescent="0.3">
      <c r="D83" s="3">
        <f t="shared" ca="1" si="2"/>
        <v>110.39934845513197</v>
      </c>
      <c r="E83" s="3">
        <f t="shared" ca="1" si="3"/>
        <v>10.399348455131971</v>
      </c>
    </row>
    <row r="84" spans="4:5" ht="18.75" x14ac:dyDescent="0.3">
      <c r="D84" s="3">
        <f t="shared" ca="1" si="2"/>
        <v>151.71139728469939</v>
      </c>
      <c r="E84" s="3">
        <f t="shared" ca="1" si="3"/>
        <v>51.711397284699387</v>
      </c>
    </row>
    <row r="85" spans="4:5" ht="18.75" x14ac:dyDescent="0.3">
      <c r="D85" s="3">
        <f t="shared" ca="1" si="2"/>
        <v>142.24693234171585</v>
      </c>
      <c r="E85" s="3">
        <f t="shared" ca="1" si="3"/>
        <v>42.246932341715848</v>
      </c>
    </row>
    <row r="86" spans="4:5" ht="18.75" x14ac:dyDescent="0.3">
      <c r="D86" s="3">
        <f t="shared" ca="1" si="2"/>
        <v>138.65236827241398</v>
      </c>
      <c r="E86" s="3">
        <f t="shared" ca="1" si="3"/>
        <v>38.65236827241398</v>
      </c>
    </row>
    <row r="87" spans="4:5" ht="18.75" x14ac:dyDescent="0.3">
      <c r="D87" s="3">
        <f t="shared" ca="1" si="2"/>
        <v>54.971845511784004</v>
      </c>
      <c r="E87" s="3">
        <f t="shared" ca="1" si="3"/>
        <v>0</v>
      </c>
    </row>
    <row r="88" spans="4:5" ht="18.75" x14ac:dyDescent="0.3">
      <c r="D88" s="3">
        <f t="shared" ca="1" si="2"/>
        <v>133.02145904714726</v>
      </c>
      <c r="E88" s="3">
        <f t="shared" ca="1" si="3"/>
        <v>33.02145904714726</v>
      </c>
    </row>
    <row r="89" spans="4:5" ht="18.75" x14ac:dyDescent="0.3">
      <c r="D89" s="3">
        <f t="shared" ca="1" si="2"/>
        <v>93.295605558518545</v>
      </c>
      <c r="E89" s="3">
        <f t="shared" ca="1" si="3"/>
        <v>0</v>
      </c>
    </row>
    <row r="90" spans="4:5" ht="18.75" x14ac:dyDescent="0.3">
      <c r="D90" s="3">
        <f t="shared" ca="1" si="2"/>
        <v>108.74496388412425</v>
      </c>
      <c r="E90" s="3">
        <f t="shared" ca="1" si="3"/>
        <v>8.7449638841242461</v>
      </c>
    </row>
    <row r="91" spans="4:5" ht="18.75" x14ac:dyDescent="0.3">
      <c r="D91" s="3">
        <f t="shared" ca="1" si="2"/>
        <v>86.777235766563635</v>
      </c>
      <c r="E91" s="3">
        <f t="shared" ca="1" si="3"/>
        <v>0</v>
      </c>
    </row>
    <row r="92" spans="4:5" ht="18.75" x14ac:dyDescent="0.3">
      <c r="D92" s="3">
        <f t="shared" ca="1" si="2"/>
        <v>78.257242775004201</v>
      </c>
      <c r="E92" s="3">
        <f t="shared" ca="1" si="3"/>
        <v>0</v>
      </c>
    </row>
    <row r="93" spans="4:5" ht="18.75" x14ac:dyDescent="0.3">
      <c r="D93" s="3">
        <f t="shared" ca="1" si="2"/>
        <v>124.62797203093059</v>
      </c>
      <c r="E93" s="3">
        <f t="shared" ca="1" si="3"/>
        <v>24.627972030930593</v>
      </c>
    </row>
    <row r="94" spans="4:5" ht="18.75" x14ac:dyDescent="0.3">
      <c r="D94" s="3">
        <f t="shared" ca="1" si="2"/>
        <v>98.286264689794649</v>
      </c>
      <c r="E94" s="3">
        <f t="shared" ca="1" si="3"/>
        <v>0</v>
      </c>
    </row>
    <row r="95" spans="4:5" ht="18.75" x14ac:dyDescent="0.3">
      <c r="D95" s="3">
        <f t="shared" ca="1" si="2"/>
        <v>144.11659265315672</v>
      </c>
      <c r="E95" s="3">
        <f t="shared" ca="1" si="3"/>
        <v>44.116592653156715</v>
      </c>
    </row>
    <row r="96" spans="4:5" ht="18.75" x14ac:dyDescent="0.3">
      <c r="D96" s="3">
        <f t="shared" ca="1" si="2"/>
        <v>137.29218912148201</v>
      </c>
      <c r="E96" s="3">
        <f t="shared" ca="1" si="3"/>
        <v>37.292189121482011</v>
      </c>
    </row>
    <row r="97" spans="4:5" ht="18.75" x14ac:dyDescent="0.3">
      <c r="D97" s="3">
        <f t="shared" ca="1" si="2"/>
        <v>84.048349695118731</v>
      </c>
      <c r="E97" s="3">
        <f t="shared" ca="1" si="3"/>
        <v>0</v>
      </c>
    </row>
    <row r="98" spans="4:5" ht="18.75" x14ac:dyDescent="0.3">
      <c r="D98" s="3">
        <f t="shared" ca="1" si="2"/>
        <v>134.21264038691331</v>
      </c>
      <c r="E98" s="3">
        <f t="shared" ca="1" si="3"/>
        <v>34.212640386913307</v>
      </c>
    </row>
    <row r="99" spans="4:5" ht="18.75" x14ac:dyDescent="0.3">
      <c r="D99" s="3">
        <f t="shared" ca="1" si="2"/>
        <v>128.99739486617543</v>
      </c>
      <c r="E99" s="3">
        <f t="shared" ca="1" si="3"/>
        <v>28.997394866175426</v>
      </c>
    </row>
    <row r="100" spans="4:5" ht="18.75" x14ac:dyDescent="0.3">
      <c r="D100" s="3">
        <f t="shared" ca="1" si="2"/>
        <v>100.57972021432582</v>
      </c>
      <c r="E100" s="3">
        <f t="shared" ca="1" si="3"/>
        <v>0.57972021432581755</v>
      </c>
    </row>
    <row r="101" spans="4:5" ht="18.75" x14ac:dyDescent="0.3">
      <c r="D101" s="3">
        <f t="shared" ca="1" si="2"/>
        <v>66.787842493696431</v>
      </c>
      <c r="E101" s="3">
        <f t="shared" ca="1" si="3"/>
        <v>0</v>
      </c>
    </row>
    <row r="102" spans="4:5" ht="18.75" x14ac:dyDescent="0.3">
      <c r="D102" s="3">
        <f t="shared" ca="1" si="2"/>
        <v>159.26565723073045</v>
      </c>
      <c r="E102" s="3">
        <f t="shared" ca="1" si="3"/>
        <v>59.265657230730454</v>
      </c>
    </row>
    <row r="103" spans="4:5" ht="18.75" x14ac:dyDescent="0.3">
      <c r="D103" s="3">
        <f t="shared" ca="1" si="2"/>
        <v>113.36801805951721</v>
      </c>
      <c r="E103" s="3">
        <f t="shared" ca="1" si="3"/>
        <v>13.368018059517212</v>
      </c>
    </row>
    <row r="104" spans="4:5" ht="18.75" x14ac:dyDescent="0.3">
      <c r="D104" s="3">
        <f t="shared" ca="1" si="2"/>
        <v>134.12080719715482</v>
      </c>
      <c r="E104" s="3">
        <f t="shared" ca="1" si="3"/>
        <v>34.120807197154818</v>
      </c>
    </row>
    <row r="105" spans="4:5" ht="18.75" x14ac:dyDescent="0.3">
      <c r="D105" s="3">
        <f t="shared" ca="1" si="2"/>
        <v>82.162938045757755</v>
      </c>
      <c r="E105" s="3">
        <f t="shared" ca="1" si="3"/>
        <v>0</v>
      </c>
    </row>
    <row r="106" spans="4:5" ht="18.75" x14ac:dyDescent="0.3">
      <c r="D106" s="3">
        <f t="shared" ca="1" si="2"/>
        <v>121.34969095860373</v>
      </c>
      <c r="E106" s="3">
        <f t="shared" ca="1" si="3"/>
        <v>21.34969095860373</v>
      </c>
    </row>
    <row r="107" spans="4:5" ht="18.75" x14ac:dyDescent="0.3">
      <c r="D107" s="3">
        <f t="shared" ca="1" si="2"/>
        <v>102.3951261281201</v>
      </c>
      <c r="E107" s="3">
        <f t="shared" ca="1" si="3"/>
        <v>2.3951261281200971</v>
      </c>
    </row>
    <row r="108" spans="4:5" ht="18.75" x14ac:dyDescent="0.3">
      <c r="D108" s="3">
        <f t="shared" ca="1" si="2"/>
        <v>188.256266878779</v>
      </c>
      <c r="E108" s="3">
        <f t="shared" ca="1" si="3"/>
        <v>88.256266878779002</v>
      </c>
    </row>
    <row r="109" spans="4:5" ht="18.75" x14ac:dyDescent="0.3">
      <c r="D109" s="3">
        <f t="shared" ca="1" si="2"/>
        <v>96.048028293497083</v>
      </c>
      <c r="E109" s="3">
        <f t="shared" ca="1" si="3"/>
        <v>0</v>
      </c>
    </row>
    <row r="110" spans="4:5" ht="18.75" x14ac:dyDescent="0.3">
      <c r="D110" s="3">
        <f t="shared" ca="1" si="2"/>
        <v>146.83395242833112</v>
      </c>
      <c r="E110" s="3">
        <f t="shared" ca="1" si="3"/>
        <v>46.833952428331116</v>
      </c>
    </row>
    <row r="111" spans="4:5" ht="18.75" x14ac:dyDescent="0.3">
      <c r="D111" s="3">
        <f t="shared" ca="1" si="2"/>
        <v>136.42929860711891</v>
      </c>
      <c r="E111" s="3">
        <f t="shared" ca="1" si="3"/>
        <v>36.429298607118909</v>
      </c>
    </row>
    <row r="112" spans="4:5" ht="18.75" x14ac:dyDescent="0.3">
      <c r="D112" s="3">
        <f t="shared" ca="1" si="2"/>
        <v>104.50864573620422</v>
      </c>
      <c r="E112" s="3">
        <f t="shared" ca="1" si="3"/>
        <v>4.5086457362042154</v>
      </c>
    </row>
    <row r="113" spans="4:5" ht="18.75" x14ac:dyDescent="0.3">
      <c r="D113" s="3">
        <f t="shared" ca="1" si="2"/>
        <v>199.1177199433088</v>
      </c>
      <c r="E113" s="3">
        <f t="shared" ca="1" si="3"/>
        <v>99.117719943308799</v>
      </c>
    </row>
    <row r="114" spans="4:5" ht="18.75" x14ac:dyDescent="0.3">
      <c r="D114" s="3">
        <f t="shared" ca="1" si="2"/>
        <v>63.956258315319616</v>
      </c>
      <c r="E114" s="3">
        <f t="shared" ca="1" si="3"/>
        <v>0</v>
      </c>
    </row>
    <row r="115" spans="4:5" ht="18.75" x14ac:dyDescent="0.3">
      <c r="D115" s="3">
        <f t="shared" ca="1" si="2"/>
        <v>97.565266216538035</v>
      </c>
      <c r="E115" s="3">
        <f t="shared" ca="1" si="3"/>
        <v>0</v>
      </c>
    </row>
    <row r="116" spans="4:5" ht="18.75" x14ac:dyDescent="0.3">
      <c r="D116" s="3">
        <f t="shared" ca="1" si="2"/>
        <v>109.71123789904702</v>
      </c>
      <c r="E116" s="3">
        <f t="shared" ca="1" si="3"/>
        <v>9.7112378990470205</v>
      </c>
    </row>
    <row r="117" spans="4:5" ht="18.75" x14ac:dyDescent="0.3">
      <c r="D117" s="3">
        <f t="shared" ca="1" si="2"/>
        <v>212.18871566183961</v>
      </c>
      <c r="E117" s="3">
        <f t="shared" ca="1" si="3"/>
        <v>112.18871566183961</v>
      </c>
    </row>
    <row r="118" spans="4:5" ht="18.75" x14ac:dyDescent="0.3">
      <c r="D118" s="3">
        <f t="shared" ca="1" si="2"/>
        <v>87.86505533534995</v>
      </c>
      <c r="E118" s="3">
        <f t="shared" ca="1" si="3"/>
        <v>0</v>
      </c>
    </row>
    <row r="119" spans="4:5" ht="18.75" x14ac:dyDescent="0.3">
      <c r="D119" s="3">
        <f t="shared" ca="1" si="2"/>
        <v>92.680575822294941</v>
      </c>
      <c r="E119" s="3">
        <f t="shared" ca="1" si="3"/>
        <v>0</v>
      </c>
    </row>
    <row r="120" spans="4:5" ht="18.75" x14ac:dyDescent="0.3">
      <c r="D120" s="3">
        <f t="shared" ca="1" si="2"/>
        <v>103.53612173050199</v>
      </c>
      <c r="E120" s="3">
        <f t="shared" ca="1" si="3"/>
        <v>3.5361217305019892</v>
      </c>
    </row>
    <row r="121" spans="4:5" ht="18.75" x14ac:dyDescent="0.3">
      <c r="D121" s="3">
        <f t="shared" ca="1" si="2"/>
        <v>138.96939632094555</v>
      </c>
      <c r="E121" s="3">
        <f t="shared" ca="1" si="3"/>
        <v>38.969396320945549</v>
      </c>
    </row>
    <row r="122" spans="4:5" ht="18.75" x14ac:dyDescent="0.3">
      <c r="D122" s="3">
        <f t="shared" ca="1" si="2"/>
        <v>134.57248409051948</v>
      </c>
      <c r="E122" s="3">
        <f t="shared" ca="1" si="3"/>
        <v>34.572484090519481</v>
      </c>
    </row>
    <row r="123" spans="4:5" ht="18.75" x14ac:dyDescent="0.3">
      <c r="D123" s="3">
        <f t="shared" ca="1" si="2"/>
        <v>124.27895959752834</v>
      </c>
      <c r="E123" s="3">
        <f t="shared" ca="1" si="3"/>
        <v>24.278959597528342</v>
      </c>
    </row>
    <row r="124" spans="4:5" ht="18.75" x14ac:dyDescent="0.3">
      <c r="D124" s="3">
        <f t="shared" ca="1" si="2"/>
        <v>110.74636883831698</v>
      </c>
      <c r="E124" s="3">
        <f t="shared" ca="1" si="3"/>
        <v>10.746368838316982</v>
      </c>
    </row>
    <row r="125" spans="4:5" ht="18.75" x14ac:dyDescent="0.3">
      <c r="D125" s="3">
        <f t="shared" ca="1" si="2"/>
        <v>158.99375370024509</v>
      </c>
      <c r="E125" s="3">
        <f t="shared" ca="1" si="3"/>
        <v>58.993753700245094</v>
      </c>
    </row>
    <row r="126" spans="4:5" ht="18.75" x14ac:dyDescent="0.3">
      <c r="D126" s="3">
        <f t="shared" ca="1" si="2"/>
        <v>161.89617014767589</v>
      </c>
      <c r="E126" s="3">
        <f t="shared" ca="1" si="3"/>
        <v>61.896170147675889</v>
      </c>
    </row>
    <row r="127" spans="4:5" ht="18.75" x14ac:dyDescent="0.3">
      <c r="D127" s="3">
        <f t="shared" ca="1" si="2"/>
        <v>129.15123349844572</v>
      </c>
      <c r="E127" s="3">
        <f t="shared" ca="1" si="3"/>
        <v>29.15123349844572</v>
      </c>
    </row>
    <row r="128" spans="4:5" ht="18.75" x14ac:dyDescent="0.3">
      <c r="D128" s="3">
        <f t="shared" ca="1" si="2"/>
        <v>141.08581797456716</v>
      </c>
      <c r="E128" s="3">
        <f t="shared" ca="1" si="3"/>
        <v>41.085817974567163</v>
      </c>
    </row>
    <row r="129" spans="4:5" ht="18.75" x14ac:dyDescent="0.3">
      <c r="D129" s="3">
        <f t="shared" ca="1" si="2"/>
        <v>165.88169900995251</v>
      </c>
      <c r="E129" s="3">
        <f t="shared" ca="1" si="3"/>
        <v>65.881699009952513</v>
      </c>
    </row>
    <row r="130" spans="4:5" ht="18.75" x14ac:dyDescent="0.3">
      <c r="D130" s="3">
        <f t="shared" ca="1" si="2"/>
        <v>97.11653480053937</v>
      </c>
      <c r="E130" s="3">
        <f t="shared" ca="1" si="3"/>
        <v>0</v>
      </c>
    </row>
    <row r="131" spans="4:5" ht="18.75" x14ac:dyDescent="0.3">
      <c r="D131" s="3">
        <f t="shared" ref="D131:D194" ca="1" si="4">$B$4*EXP(($B$7-$B$8*$B$8*0.5)*$B$6+$B$8*SQRT($B$6)*_xlfn.NORM.S.INV(RAND()))</f>
        <v>164.1140160550452</v>
      </c>
      <c r="E131" s="3">
        <f t="shared" ref="E131:E194" ca="1" si="5">IF($B$3="call",MAX(D131-$B$5,0),MAX($B$5-D131,0))</f>
        <v>64.114016055045198</v>
      </c>
    </row>
    <row r="132" spans="4:5" ht="18.75" x14ac:dyDescent="0.3">
      <c r="D132" s="3">
        <f t="shared" ca="1" si="4"/>
        <v>105.23162847255354</v>
      </c>
      <c r="E132" s="3">
        <f t="shared" ca="1" si="5"/>
        <v>5.2316284725535382</v>
      </c>
    </row>
    <row r="133" spans="4:5" ht="18.75" x14ac:dyDescent="0.3">
      <c r="D133" s="3">
        <f t="shared" ca="1" si="4"/>
        <v>153.34034927021838</v>
      </c>
      <c r="E133" s="3">
        <f t="shared" ca="1" si="5"/>
        <v>53.340349270218383</v>
      </c>
    </row>
    <row r="134" spans="4:5" ht="18.75" x14ac:dyDescent="0.3">
      <c r="D134" s="3">
        <f t="shared" ca="1" si="4"/>
        <v>124.57608597405809</v>
      </c>
      <c r="E134" s="3">
        <f t="shared" ca="1" si="5"/>
        <v>24.576085974058088</v>
      </c>
    </row>
    <row r="135" spans="4:5" ht="18.75" x14ac:dyDescent="0.3">
      <c r="D135" s="3">
        <f t="shared" ca="1" si="4"/>
        <v>103.85800160656136</v>
      </c>
      <c r="E135" s="3">
        <f t="shared" ca="1" si="5"/>
        <v>3.8580016065613592</v>
      </c>
    </row>
    <row r="136" spans="4:5" ht="18.75" x14ac:dyDescent="0.3">
      <c r="D136" s="3">
        <f t="shared" ca="1" si="4"/>
        <v>126.29644864308203</v>
      </c>
      <c r="E136" s="3">
        <f t="shared" ca="1" si="5"/>
        <v>26.29644864308203</v>
      </c>
    </row>
    <row r="137" spans="4:5" ht="18.75" x14ac:dyDescent="0.3">
      <c r="D137" s="3">
        <f t="shared" ca="1" si="4"/>
        <v>82.595447397875432</v>
      </c>
      <c r="E137" s="3">
        <f t="shared" ca="1" si="5"/>
        <v>0</v>
      </c>
    </row>
    <row r="138" spans="4:5" ht="18.75" x14ac:dyDescent="0.3">
      <c r="D138" s="3">
        <f t="shared" ca="1" si="4"/>
        <v>59.705028379729711</v>
      </c>
      <c r="E138" s="3">
        <f t="shared" ca="1" si="5"/>
        <v>0</v>
      </c>
    </row>
    <row r="139" spans="4:5" ht="18.75" x14ac:dyDescent="0.3">
      <c r="D139" s="3">
        <f t="shared" ca="1" si="4"/>
        <v>94.991224631791709</v>
      </c>
      <c r="E139" s="3">
        <f t="shared" ca="1" si="5"/>
        <v>0</v>
      </c>
    </row>
    <row r="140" spans="4:5" ht="18.75" x14ac:dyDescent="0.3">
      <c r="D140" s="3">
        <f t="shared" ca="1" si="4"/>
        <v>149.13926555517241</v>
      </c>
      <c r="E140" s="3">
        <f t="shared" ca="1" si="5"/>
        <v>49.139265555172415</v>
      </c>
    </row>
    <row r="141" spans="4:5" ht="18.75" x14ac:dyDescent="0.3">
      <c r="D141" s="3">
        <f t="shared" ca="1" si="4"/>
        <v>96.168567846557323</v>
      </c>
      <c r="E141" s="3">
        <f t="shared" ca="1" si="5"/>
        <v>0</v>
      </c>
    </row>
    <row r="142" spans="4:5" ht="18.75" x14ac:dyDescent="0.3">
      <c r="D142" s="3">
        <f t="shared" ca="1" si="4"/>
        <v>141.39573999495897</v>
      </c>
      <c r="E142" s="3">
        <f t="shared" ca="1" si="5"/>
        <v>41.395739994958973</v>
      </c>
    </row>
    <row r="143" spans="4:5" ht="18.75" x14ac:dyDescent="0.3">
      <c r="D143" s="3">
        <f t="shared" ca="1" si="4"/>
        <v>120.40561293461047</v>
      </c>
      <c r="E143" s="3">
        <f t="shared" ca="1" si="5"/>
        <v>20.405612934610474</v>
      </c>
    </row>
    <row r="144" spans="4:5" ht="18.75" x14ac:dyDescent="0.3">
      <c r="D144" s="3">
        <f t="shared" ca="1" si="4"/>
        <v>128.89913984116964</v>
      </c>
      <c r="E144" s="3">
        <f t="shared" ca="1" si="5"/>
        <v>28.899139841169642</v>
      </c>
    </row>
    <row r="145" spans="4:5" ht="18.75" x14ac:dyDescent="0.3">
      <c r="D145" s="3">
        <f t="shared" ca="1" si="4"/>
        <v>121.51715158966428</v>
      </c>
      <c r="E145" s="3">
        <f t="shared" ca="1" si="5"/>
        <v>21.51715158966428</v>
      </c>
    </row>
    <row r="146" spans="4:5" ht="18.75" x14ac:dyDescent="0.3">
      <c r="D146" s="3">
        <f t="shared" ca="1" si="4"/>
        <v>89.283804941157712</v>
      </c>
      <c r="E146" s="3">
        <f t="shared" ca="1" si="5"/>
        <v>0</v>
      </c>
    </row>
    <row r="147" spans="4:5" ht="18.75" x14ac:dyDescent="0.3">
      <c r="D147" s="3">
        <f t="shared" ca="1" si="4"/>
        <v>110.43112091752434</v>
      </c>
      <c r="E147" s="3">
        <f t="shared" ca="1" si="5"/>
        <v>10.431120917524339</v>
      </c>
    </row>
    <row r="148" spans="4:5" ht="18.75" x14ac:dyDescent="0.3">
      <c r="D148" s="3">
        <f t="shared" ca="1" si="4"/>
        <v>87.135895561176852</v>
      </c>
      <c r="E148" s="3">
        <f t="shared" ca="1" si="5"/>
        <v>0</v>
      </c>
    </row>
    <row r="149" spans="4:5" ht="18.75" x14ac:dyDescent="0.3">
      <c r="D149" s="3">
        <f t="shared" ca="1" si="4"/>
        <v>105.63214560680719</v>
      </c>
      <c r="E149" s="3">
        <f t="shared" ca="1" si="5"/>
        <v>5.6321456068071853</v>
      </c>
    </row>
    <row r="150" spans="4:5" ht="18.75" x14ac:dyDescent="0.3">
      <c r="D150" s="3">
        <f t="shared" ca="1" si="4"/>
        <v>114.02753656598117</v>
      </c>
      <c r="E150" s="3">
        <f t="shared" ca="1" si="5"/>
        <v>14.027536565981165</v>
      </c>
    </row>
    <row r="151" spans="4:5" ht="18.75" x14ac:dyDescent="0.3">
      <c r="D151" s="3">
        <f t="shared" ca="1" si="4"/>
        <v>101.16684024679456</v>
      </c>
      <c r="E151" s="3">
        <f t="shared" ca="1" si="5"/>
        <v>1.166840246794564</v>
      </c>
    </row>
    <row r="152" spans="4:5" ht="18.75" x14ac:dyDescent="0.3">
      <c r="D152" s="3">
        <f t="shared" ca="1" si="4"/>
        <v>135.37546846722501</v>
      </c>
      <c r="E152" s="3">
        <f t="shared" ca="1" si="5"/>
        <v>35.375468467225005</v>
      </c>
    </row>
    <row r="153" spans="4:5" ht="18.75" x14ac:dyDescent="0.3">
      <c r="D153" s="3">
        <f t="shared" ca="1" si="4"/>
        <v>117.96911991769232</v>
      </c>
      <c r="E153" s="3">
        <f t="shared" ca="1" si="5"/>
        <v>17.969119917692325</v>
      </c>
    </row>
    <row r="154" spans="4:5" ht="18.75" x14ac:dyDescent="0.3">
      <c r="D154" s="3">
        <f t="shared" ca="1" si="4"/>
        <v>66.524390081394657</v>
      </c>
      <c r="E154" s="3">
        <f t="shared" ca="1" si="5"/>
        <v>0</v>
      </c>
    </row>
    <row r="155" spans="4:5" ht="18.75" x14ac:dyDescent="0.3">
      <c r="D155" s="3">
        <f t="shared" ca="1" si="4"/>
        <v>108.46325671580135</v>
      </c>
      <c r="E155" s="3">
        <f t="shared" ca="1" si="5"/>
        <v>8.4632567158013501</v>
      </c>
    </row>
    <row r="156" spans="4:5" ht="18.75" x14ac:dyDescent="0.3">
      <c r="D156" s="3">
        <f t="shared" ca="1" si="4"/>
        <v>170.84734756258524</v>
      </c>
      <c r="E156" s="3">
        <f t="shared" ca="1" si="5"/>
        <v>70.847347562585242</v>
      </c>
    </row>
    <row r="157" spans="4:5" ht="18.75" x14ac:dyDescent="0.3">
      <c r="D157" s="3">
        <f t="shared" ca="1" si="4"/>
        <v>167.75404713425829</v>
      </c>
      <c r="E157" s="3">
        <f t="shared" ca="1" si="5"/>
        <v>67.754047134258286</v>
      </c>
    </row>
    <row r="158" spans="4:5" ht="18.75" x14ac:dyDescent="0.3">
      <c r="D158" s="3">
        <f t="shared" ca="1" si="4"/>
        <v>182.89414958090535</v>
      </c>
      <c r="E158" s="3">
        <f t="shared" ca="1" si="5"/>
        <v>82.894149580905349</v>
      </c>
    </row>
    <row r="159" spans="4:5" ht="18.75" x14ac:dyDescent="0.3">
      <c r="D159" s="3">
        <f t="shared" ca="1" si="4"/>
        <v>145.72359752203931</v>
      </c>
      <c r="E159" s="3">
        <f t="shared" ca="1" si="5"/>
        <v>45.723597522039313</v>
      </c>
    </row>
    <row r="160" spans="4:5" ht="18.75" x14ac:dyDescent="0.3">
      <c r="D160" s="3">
        <f t="shared" ca="1" si="4"/>
        <v>189.54229719267403</v>
      </c>
      <c r="E160" s="3">
        <f t="shared" ca="1" si="5"/>
        <v>89.542297192674027</v>
      </c>
    </row>
    <row r="161" spans="4:5" ht="18.75" x14ac:dyDescent="0.3">
      <c r="D161" s="3">
        <f t="shared" ca="1" si="4"/>
        <v>118.12084831853662</v>
      </c>
      <c r="E161" s="3">
        <f t="shared" ca="1" si="5"/>
        <v>18.120848318536616</v>
      </c>
    </row>
    <row r="162" spans="4:5" ht="18.75" x14ac:dyDescent="0.3">
      <c r="D162" s="3">
        <f t="shared" ca="1" si="4"/>
        <v>135.62496023402176</v>
      </c>
      <c r="E162" s="3">
        <f t="shared" ca="1" si="5"/>
        <v>35.624960234021756</v>
      </c>
    </row>
    <row r="163" spans="4:5" ht="18.75" x14ac:dyDescent="0.3">
      <c r="D163" s="3">
        <f t="shared" ca="1" si="4"/>
        <v>107.52939370688519</v>
      </c>
      <c r="E163" s="3">
        <f t="shared" ca="1" si="5"/>
        <v>7.5293937068851875</v>
      </c>
    </row>
    <row r="164" spans="4:5" ht="18.75" x14ac:dyDescent="0.3">
      <c r="D164" s="3">
        <f t="shared" ca="1" si="4"/>
        <v>100.10495714667127</v>
      </c>
      <c r="E164" s="3">
        <f t="shared" ca="1" si="5"/>
        <v>0.10495714667126776</v>
      </c>
    </row>
    <row r="165" spans="4:5" ht="18.75" x14ac:dyDescent="0.3">
      <c r="D165" s="3">
        <f t="shared" ca="1" si="4"/>
        <v>119.89350759114834</v>
      </c>
      <c r="E165" s="3">
        <f t="shared" ca="1" si="5"/>
        <v>19.893507591148335</v>
      </c>
    </row>
    <row r="166" spans="4:5" ht="18.75" x14ac:dyDescent="0.3">
      <c r="D166" s="3">
        <f t="shared" ca="1" si="4"/>
        <v>117.77674822386031</v>
      </c>
      <c r="E166" s="3">
        <f t="shared" ca="1" si="5"/>
        <v>17.776748223860309</v>
      </c>
    </row>
    <row r="167" spans="4:5" ht="18.75" x14ac:dyDescent="0.3">
      <c r="D167" s="3">
        <f t="shared" ca="1" si="4"/>
        <v>145.7065162010137</v>
      </c>
      <c r="E167" s="3">
        <f t="shared" ca="1" si="5"/>
        <v>45.706516201013699</v>
      </c>
    </row>
    <row r="168" spans="4:5" ht="18.75" x14ac:dyDescent="0.3">
      <c r="D168" s="3">
        <f t="shared" ca="1" si="4"/>
        <v>132.95534087684649</v>
      </c>
      <c r="E168" s="3">
        <f t="shared" ca="1" si="5"/>
        <v>32.955340876846492</v>
      </c>
    </row>
    <row r="169" spans="4:5" ht="18.75" x14ac:dyDescent="0.3">
      <c r="D169" s="3">
        <f t="shared" ca="1" si="4"/>
        <v>218.15669178931952</v>
      </c>
      <c r="E169" s="3">
        <f t="shared" ca="1" si="5"/>
        <v>118.15669178931952</v>
      </c>
    </row>
    <row r="170" spans="4:5" ht="18.75" x14ac:dyDescent="0.3">
      <c r="D170" s="3">
        <f t="shared" ca="1" si="4"/>
        <v>78.381629168658193</v>
      </c>
      <c r="E170" s="3">
        <f t="shared" ca="1" si="5"/>
        <v>0</v>
      </c>
    </row>
    <row r="171" spans="4:5" ht="18.75" x14ac:dyDescent="0.3">
      <c r="D171" s="3">
        <f t="shared" ca="1" si="4"/>
        <v>134.20034829627571</v>
      </c>
      <c r="E171" s="3">
        <f t="shared" ca="1" si="5"/>
        <v>34.200348296275706</v>
      </c>
    </row>
    <row r="172" spans="4:5" ht="18.75" x14ac:dyDescent="0.3">
      <c r="D172" s="3">
        <f t="shared" ca="1" si="4"/>
        <v>146.26194873182601</v>
      </c>
      <c r="E172" s="3">
        <f t="shared" ca="1" si="5"/>
        <v>46.26194873182601</v>
      </c>
    </row>
    <row r="173" spans="4:5" ht="18.75" x14ac:dyDescent="0.3">
      <c r="D173" s="3">
        <f t="shared" ca="1" si="4"/>
        <v>103.8915481327805</v>
      </c>
      <c r="E173" s="3">
        <f t="shared" ca="1" si="5"/>
        <v>3.8915481327804997</v>
      </c>
    </row>
    <row r="174" spans="4:5" ht="18.75" x14ac:dyDescent="0.3">
      <c r="D174" s="3">
        <f t="shared" ca="1" si="4"/>
        <v>123.87119403329649</v>
      </c>
      <c r="E174" s="3">
        <f t="shared" ca="1" si="5"/>
        <v>23.87119403329649</v>
      </c>
    </row>
    <row r="175" spans="4:5" ht="18.75" x14ac:dyDescent="0.3">
      <c r="D175" s="3">
        <f t="shared" ca="1" si="4"/>
        <v>98.33265977364367</v>
      </c>
      <c r="E175" s="3">
        <f t="shared" ca="1" si="5"/>
        <v>0</v>
      </c>
    </row>
    <row r="176" spans="4:5" ht="18.75" x14ac:dyDescent="0.3">
      <c r="D176" s="3">
        <f t="shared" ca="1" si="4"/>
        <v>90.072349710369465</v>
      </c>
      <c r="E176" s="3">
        <f t="shared" ca="1" si="5"/>
        <v>0</v>
      </c>
    </row>
    <row r="177" spans="4:5" ht="18.75" x14ac:dyDescent="0.3">
      <c r="D177" s="3">
        <f t="shared" ca="1" si="4"/>
        <v>123.02040609383698</v>
      </c>
      <c r="E177" s="3">
        <f t="shared" ca="1" si="5"/>
        <v>23.020406093836982</v>
      </c>
    </row>
    <row r="178" spans="4:5" ht="18.75" x14ac:dyDescent="0.3">
      <c r="D178" s="3">
        <f t="shared" ca="1" si="4"/>
        <v>141.82674288577115</v>
      </c>
      <c r="E178" s="3">
        <f t="shared" ca="1" si="5"/>
        <v>41.826742885771154</v>
      </c>
    </row>
    <row r="179" spans="4:5" ht="18.75" x14ac:dyDescent="0.3">
      <c r="D179" s="3">
        <f t="shared" ca="1" si="4"/>
        <v>135.63718678763462</v>
      </c>
      <c r="E179" s="3">
        <f t="shared" ca="1" si="5"/>
        <v>35.637186787634619</v>
      </c>
    </row>
    <row r="180" spans="4:5" ht="18.75" x14ac:dyDescent="0.3">
      <c r="D180" s="3">
        <f t="shared" ca="1" si="4"/>
        <v>85.667790289031984</v>
      </c>
      <c r="E180" s="3">
        <f t="shared" ca="1" si="5"/>
        <v>0</v>
      </c>
    </row>
    <row r="181" spans="4:5" ht="18.75" x14ac:dyDescent="0.3">
      <c r="D181" s="3">
        <f t="shared" ca="1" si="4"/>
        <v>108.5706859235282</v>
      </c>
      <c r="E181" s="3">
        <f t="shared" ca="1" si="5"/>
        <v>8.5706859235282025</v>
      </c>
    </row>
    <row r="182" spans="4:5" ht="18.75" x14ac:dyDescent="0.3">
      <c r="D182" s="3">
        <f t="shared" ca="1" si="4"/>
        <v>177.10565123299938</v>
      </c>
      <c r="E182" s="3">
        <f t="shared" ca="1" si="5"/>
        <v>77.105651232999378</v>
      </c>
    </row>
    <row r="183" spans="4:5" ht="18.75" x14ac:dyDescent="0.3">
      <c r="D183" s="3">
        <f t="shared" ca="1" si="4"/>
        <v>194.41631304488843</v>
      </c>
      <c r="E183" s="3">
        <f t="shared" ca="1" si="5"/>
        <v>94.416313044888426</v>
      </c>
    </row>
    <row r="184" spans="4:5" ht="18.75" x14ac:dyDescent="0.3">
      <c r="D184" s="3">
        <f t="shared" ca="1" si="4"/>
        <v>83.408375969485036</v>
      </c>
      <c r="E184" s="3">
        <f t="shared" ca="1" si="5"/>
        <v>0</v>
      </c>
    </row>
    <row r="185" spans="4:5" ht="18.75" x14ac:dyDescent="0.3">
      <c r="D185" s="3">
        <f t="shared" ca="1" si="4"/>
        <v>110.79146401904212</v>
      </c>
      <c r="E185" s="3">
        <f t="shared" ca="1" si="5"/>
        <v>10.791464019042124</v>
      </c>
    </row>
    <row r="186" spans="4:5" ht="18.75" x14ac:dyDescent="0.3">
      <c r="D186" s="3">
        <f t="shared" ca="1" si="4"/>
        <v>61.445739668566979</v>
      </c>
      <c r="E186" s="3">
        <f t="shared" ca="1" si="5"/>
        <v>0</v>
      </c>
    </row>
    <row r="187" spans="4:5" ht="18.75" x14ac:dyDescent="0.3">
      <c r="D187" s="3">
        <f t="shared" ca="1" si="4"/>
        <v>145.33973288168457</v>
      </c>
      <c r="E187" s="3">
        <f t="shared" ca="1" si="5"/>
        <v>45.339732881684569</v>
      </c>
    </row>
    <row r="188" spans="4:5" ht="18.75" x14ac:dyDescent="0.3">
      <c r="D188" s="3">
        <f t="shared" ca="1" si="4"/>
        <v>102.62085857021236</v>
      </c>
      <c r="E188" s="3">
        <f t="shared" ca="1" si="5"/>
        <v>2.6208585702123628</v>
      </c>
    </row>
    <row r="189" spans="4:5" ht="18.75" x14ac:dyDescent="0.3">
      <c r="D189" s="3">
        <f t="shared" ca="1" si="4"/>
        <v>94.217991360223891</v>
      </c>
      <c r="E189" s="3">
        <f t="shared" ca="1" si="5"/>
        <v>0</v>
      </c>
    </row>
    <row r="190" spans="4:5" ht="18.75" x14ac:dyDescent="0.3">
      <c r="D190" s="3">
        <f t="shared" ca="1" si="4"/>
        <v>154.20679692143395</v>
      </c>
      <c r="E190" s="3">
        <f t="shared" ca="1" si="5"/>
        <v>54.206796921433948</v>
      </c>
    </row>
    <row r="191" spans="4:5" ht="18.75" x14ac:dyDescent="0.3">
      <c r="D191" s="3">
        <f t="shared" ca="1" si="4"/>
        <v>154.93962551934169</v>
      </c>
      <c r="E191" s="3">
        <f t="shared" ca="1" si="5"/>
        <v>54.939625519341689</v>
      </c>
    </row>
    <row r="192" spans="4:5" ht="18.75" x14ac:dyDescent="0.3">
      <c r="D192" s="3">
        <f t="shared" ca="1" si="4"/>
        <v>106.11458635607565</v>
      </c>
      <c r="E192" s="3">
        <f t="shared" ca="1" si="5"/>
        <v>6.1145863560756482</v>
      </c>
    </row>
    <row r="193" spans="4:5" ht="18.75" x14ac:dyDescent="0.3">
      <c r="D193" s="3">
        <f t="shared" ca="1" si="4"/>
        <v>141.95307010583761</v>
      </c>
      <c r="E193" s="3">
        <f t="shared" ca="1" si="5"/>
        <v>41.953070105837611</v>
      </c>
    </row>
    <row r="194" spans="4:5" ht="18.75" x14ac:dyDescent="0.3">
      <c r="D194" s="3">
        <f t="shared" ca="1" si="4"/>
        <v>90.655536365321197</v>
      </c>
      <c r="E194" s="3">
        <f t="shared" ca="1" si="5"/>
        <v>0</v>
      </c>
    </row>
    <row r="195" spans="4:5" ht="18.75" x14ac:dyDescent="0.3">
      <c r="D195" s="3">
        <f t="shared" ref="D195:D258" ca="1" si="6">$B$4*EXP(($B$7-$B$8*$B$8*0.5)*$B$6+$B$8*SQRT($B$6)*_xlfn.NORM.S.INV(RAND()))</f>
        <v>111.37429961157062</v>
      </c>
      <c r="E195" s="3">
        <f t="shared" ref="E195:E258" ca="1" si="7">IF($B$3="call",MAX(D195-$B$5,0),MAX($B$5-D195,0))</f>
        <v>11.374299611570621</v>
      </c>
    </row>
    <row r="196" spans="4:5" ht="18.75" x14ac:dyDescent="0.3">
      <c r="D196" s="3">
        <f t="shared" ca="1" si="6"/>
        <v>72.067129753847652</v>
      </c>
      <c r="E196" s="3">
        <f t="shared" ca="1" si="7"/>
        <v>0</v>
      </c>
    </row>
    <row r="197" spans="4:5" ht="18.75" x14ac:dyDescent="0.3">
      <c r="D197" s="3">
        <f t="shared" ca="1" si="6"/>
        <v>82.455388225454129</v>
      </c>
      <c r="E197" s="3">
        <f t="shared" ca="1" si="7"/>
        <v>0</v>
      </c>
    </row>
    <row r="198" spans="4:5" ht="18.75" x14ac:dyDescent="0.3">
      <c r="D198" s="3">
        <f t="shared" ca="1" si="6"/>
        <v>130.32660659131093</v>
      </c>
      <c r="E198" s="3">
        <f t="shared" ca="1" si="7"/>
        <v>30.326606591310934</v>
      </c>
    </row>
    <row r="199" spans="4:5" ht="18.75" x14ac:dyDescent="0.3">
      <c r="D199" s="3">
        <f t="shared" ca="1" si="6"/>
        <v>110.89558375396744</v>
      </c>
      <c r="E199" s="3">
        <f t="shared" ca="1" si="7"/>
        <v>10.895583753967443</v>
      </c>
    </row>
    <row r="200" spans="4:5" ht="18.75" x14ac:dyDescent="0.3">
      <c r="D200" s="3">
        <f t="shared" ca="1" si="6"/>
        <v>115.84121897660617</v>
      </c>
      <c r="E200" s="3">
        <f t="shared" ca="1" si="7"/>
        <v>15.841218976606172</v>
      </c>
    </row>
    <row r="201" spans="4:5" ht="18.75" x14ac:dyDescent="0.3">
      <c r="D201" s="3">
        <f t="shared" ca="1" si="6"/>
        <v>127.10483073490207</v>
      </c>
      <c r="E201" s="3">
        <f t="shared" ca="1" si="7"/>
        <v>27.104830734902066</v>
      </c>
    </row>
    <row r="202" spans="4:5" ht="18.75" x14ac:dyDescent="0.3">
      <c r="D202" s="3">
        <f t="shared" ca="1" si="6"/>
        <v>179.05070791998867</v>
      </c>
      <c r="E202" s="3">
        <f t="shared" ca="1" si="7"/>
        <v>79.050707919988668</v>
      </c>
    </row>
    <row r="203" spans="4:5" ht="18.75" x14ac:dyDescent="0.3">
      <c r="D203" s="3">
        <f t="shared" ca="1" si="6"/>
        <v>104.18568417571143</v>
      </c>
      <c r="E203" s="3">
        <f t="shared" ca="1" si="7"/>
        <v>4.1856841757114296</v>
      </c>
    </row>
    <row r="204" spans="4:5" ht="18.75" x14ac:dyDescent="0.3">
      <c r="D204" s="3">
        <f t="shared" ca="1" si="6"/>
        <v>79.106734944989853</v>
      </c>
      <c r="E204" s="3">
        <f t="shared" ca="1" si="7"/>
        <v>0</v>
      </c>
    </row>
    <row r="205" spans="4:5" ht="18.75" x14ac:dyDescent="0.3">
      <c r="D205" s="3">
        <f t="shared" ca="1" si="6"/>
        <v>137.91015575099775</v>
      </c>
      <c r="E205" s="3">
        <f t="shared" ca="1" si="7"/>
        <v>37.910155750997745</v>
      </c>
    </row>
    <row r="206" spans="4:5" ht="18.75" x14ac:dyDescent="0.3">
      <c r="D206" s="3">
        <f t="shared" ca="1" si="6"/>
        <v>163.4270632101456</v>
      </c>
      <c r="E206" s="3">
        <f t="shared" ca="1" si="7"/>
        <v>63.427063210145604</v>
      </c>
    </row>
    <row r="207" spans="4:5" ht="18.75" x14ac:dyDescent="0.3">
      <c r="D207" s="3">
        <f t="shared" ca="1" si="6"/>
        <v>103.05797898491885</v>
      </c>
      <c r="E207" s="3">
        <f t="shared" ca="1" si="7"/>
        <v>3.0579789849188472</v>
      </c>
    </row>
    <row r="208" spans="4:5" ht="18.75" x14ac:dyDescent="0.3">
      <c r="D208" s="3">
        <f t="shared" ca="1" si="6"/>
        <v>115.34931234502037</v>
      </c>
      <c r="E208" s="3">
        <f t="shared" ca="1" si="7"/>
        <v>15.349312345020365</v>
      </c>
    </row>
    <row r="209" spans="4:5" ht="18.75" x14ac:dyDescent="0.3">
      <c r="D209" s="3">
        <f t="shared" ca="1" si="6"/>
        <v>160.69270774583887</v>
      </c>
      <c r="E209" s="3">
        <f t="shared" ca="1" si="7"/>
        <v>60.692707745838874</v>
      </c>
    </row>
    <row r="210" spans="4:5" ht="18.75" x14ac:dyDescent="0.3">
      <c r="D210" s="3">
        <f t="shared" ca="1" si="6"/>
        <v>121.27115325413445</v>
      </c>
      <c r="E210" s="3">
        <f t="shared" ca="1" si="7"/>
        <v>21.271153254134447</v>
      </c>
    </row>
    <row r="211" spans="4:5" ht="18.75" x14ac:dyDescent="0.3">
      <c r="D211" s="3">
        <f t="shared" ca="1" si="6"/>
        <v>103.86593755870695</v>
      </c>
      <c r="E211" s="3">
        <f t="shared" ca="1" si="7"/>
        <v>3.8659375587069462</v>
      </c>
    </row>
    <row r="212" spans="4:5" ht="18.75" x14ac:dyDescent="0.3">
      <c r="D212" s="3">
        <f t="shared" ca="1" si="6"/>
        <v>114.35955647217727</v>
      </c>
      <c r="E212" s="3">
        <f t="shared" ca="1" si="7"/>
        <v>14.359556472177275</v>
      </c>
    </row>
    <row r="213" spans="4:5" ht="18.75" x14ac:dyDescent="0.3">
      <c r="D213" s="3">
        <f t="shared" ca="1" si="6"/>
        <v>100.73620136515227</v>
      </c>
      <c r="E213" s="3">
        <f t="shared" ca="1" si="7"/>
        <v>0.73620136515226875</v>
      </c>
    </row>
    <row r="214" spans="4:5" ht="18.75" x14ac:dyDescent="0.3">
      <c r="D214" s="3">
        <f t="shared" ca="1" si="6"/>
        <v>90.232051281174989</v>
      </c>
      <c r="E214" s="3">
        <f t="shared" ca="1" si="7"/>
        <v>0</v>
      </c>
    </row>
    <row r="215" spans="4:5" ht="18.75" x14ac:dyDescent="0.3">
      <c r="D215" s="3">
        <f t="shared" ca="1" si="6"/>
        <v>227.0549355692585</v>
      </c>
      <c r="E215" s="3">
        <f t="shared" ca="1" si="7"/>
        <v>127.0549355692585</v>
      </c>
    </row>
    <row r="216" spans="4:5" ht="18.75" x14ac:dyDescent="0.3">
      <c r="D216" s="3">
        <f t="shared" ca="1" si="6"/>
        <v>118.88352376271428</v>
      </c>
      <c r="E216" s="3">
        <f t="shared" ca="1" si="7"/>
        <v>18.883523762714276</v>
      </c>
    </row>
    <row r="217" spans="4:5" ht="18.75" x14ac:dyDescent="0.3">
      <c r="D217" s="3">
        <f t="shared" ca="1" si="6"/>
        <v>96.566227408750933</v>
      </c>
      <c r="E217" s="3">
        <f t="shared" ca="1" si="7"/>
        <v>0</v>
      </c>
    </row>
    <row r="218" spans="4:5" ht="18.75" x14ac:dyDescent="0.3">
      <c r="D218" s="3">
        <f t="shared" ca="1" si="6"/>
        <v>98.442343788104168</v>
      </c>
      <c r="E218" s="3">
        <f t="shared" ca="1" si="7"/>
        <v>0</v>
      </c>
    </row>
    <row r="219" spans="4:5" ht="18.75" x14ac:dyDescent="0.3">
      <c r="D219" s="3">
        <f t="shared" ca="1" si="6"/>
        <v>223.56273720891829</v>
      </c>
      <c r="E219" s="3">
        <f t="shared" ca="1" si="7"/>
        <v>123.56273720891829</v>
      </c>
    </row>
    <row r="220" spans="4:5" ht="18.75" x14ac:dyDescent="0.3">
      <c r="D220" s="3">
        <f t="shared" ca="1" si="6"/>
        <v>68.233482638291704</v>
      </c>
      <c r="E220" s="3">
        <f t="shared" ca="1" si="7"/>
        <v>0</v>
      </c>
    </row>
    <row r="221" spans="4:5" ht="18.75" x14ac:dyDescent="0.3">
      <c r="D221" s="3">
        <f t="shared" ca="1" si="6"/>
        <v>180.97477536109943</v>
      </c>
      <c r="E221" s="3">
        <f t="shared" ca="1" si="7"/>
        <v>80.974775361099432</v>
      </c>
    </row>
    <row r="222" spans="4:5" ht="18.75" x14ac:dyDescent="0.3">
      <c r="D222" s="3">
        <f t="shared" ca="1" si="6"/>
        <v>85.065504180457268</v>
      </c>
      <c r="E222" s="3">
        <f t="shared" ca="1" si="7"/>
        <v>0</v>
      </c>
    </row>
    <row r="223" spans="4:5" ht="18.75" x14ac:dyDescent="0.3">
      <c r="D223" s="3">
        <f t="shared" ca="1" si="6"/>
        <v>185.2647826499101</v>
      </c>
      <c r="E223" s="3">
        <f t="shared" ca="1" si="7"/>
        <v>85.264782649910103</v>
      </c>
    </row>
    <row r="224" spans="4:5" ht="18.75" x14ac:dyDescent="0.3">
      <c r="D224" s="3">
        <f t="shared" ca="1" si="6"/>
        <v>136.30951447671694</v>
      </c>
      <c r="E224" s="3">
        <f t="shared" ca="1" si="7"/>
        <v>36.309514476716942</v>
      </c>
    </row>
    <row r="225" spans="4:5" ht="18.75" x14ac:dyDescent="0.3">
      <c r="D225" s="3">
        <f t="shared" ca="1" si="6"/>
        <v>86.223129681579309</v>
      </c>
      <c r="E225" s="3">
        <f t="shared" ca="1" si="7"/>
        <v>0</v>
      </c>
    </row>
    <row r="226" spans="4:5" ht="18.75" x14ac:dyDescent="0.3">
      <c r="D226" s="3">
        <f t="shared" ca="1" si="6"/>
        <v>130.12322187762641</v>
      </c>
      <c r="E226" s="3">
        <f t="shared" ca="1" si="7"/>
        <v>30.123221877626406</v>
      </c>
    </row>
    <row r="227" spans="4:5" ht="18.75" x14ac:dyDescent="0.3">
      <c r="D227" s="3">
        <f t="shared" ca="1" si="6"/>
        <v>108.55074872066454</v>
      </c>
      <c r="E227" s="3">
        <f t="shared" ca="1" si="7"/>
        <v>8.5507487206645436</v>
      </c>
    </row>
    <row r="228" spans="4:5" ht="18.75" x14ac:dyDescent="0.3">
      <c r="D228" s="3">
        <f t="shared" ca="1" si="6"/>
        <v>115.47173261972181</v>
      </c>
      <c r="E228" s="3">
        <f t="shared" ca="1" si="7"/>
        <v>15.471732619721806</v>
      </c>
    </row>
    <row r="229" spans="4:5" ht="18.75" x14ac:dyDescent="0.3">
      <c r="D229" s="3">
        <f t="shared" ca="1" si="6"/>
        <v>111.5866670503505</v>
      </c>
      <c r="E229" s="3">
        <f t="shared" ca="1" si="7"/>
        <v>11.586667050350499</v>
      </c>
    </row>
    <row r="230" spans="4:5" ht="18.75" x14ac:dyDescent="0.3">
      <c r="D230" s="3">
        <f t="shared" ca="1" si="6"/>
        <v>122.4957534126675</v>
      </c>
      <c r="E230" s="3">
        <f t="shared" ca="1" si="7"/>
        <v>22.495753412667497</v>
      </c>
    </row>
    <row r="231" spans="4:5" ht="18.75" x14ac:dyDescent="0.3">
      <c r="D231" s="3">
        <f t="shared" ca="1" si="6"/>
        <v>123.11071100266756</v>
      </c>
      <c r="E231" s="3">
        <f t="shared" ca="1" si="7"/>
        <v>23.110711002667557</v>
      </c>
    </row>
    <row r="232" spans="4:5" ht="18.75" x14ac:dyDescent="0.3">
      <c r="D232" s="3">
        <f t="shared" ca="1" si="6"/>
        <v>94.938136925825404</v>
      </c>
      <c r="E232" s="3">
        <f t="shared" ca="1" si="7"/>
        <v>0</v>
      </c>
    </row>
    <row r="233" spans="4:5" ht="18.75" x14ac:dyDescent="0.3">
      <c r="D233" s="3">
        <f t="shared" ca="1" si="6"/>
        <v>138.33166114495845</v>
      </c>
      <c r="E233" s="3">
        <f t="shared" ca="1" si="7"/>
        <v>38.331661144958446</v>
      </c>
    </row>
    <row r="234" spans="4:5" ht="18.75" x14ac:dyDescent="0.3">
      <c r="D234" s="3">
        <f t="shared" ca="1" si="6"/>
        <v>190.75302023489397</v>
      </c>
      <c r="E234" s="3">
        <f t="shared" ca="1" si="7"/>
        <v>90.753020234893967</v>
      </c>
    </row>
    <row r="235" spans="4:5" ht="18.75" x14ac:dyDescent="0.3">
      <c r="D235" s="3">
        <f t="shared" ca="1" si="6"/>
        <v>82.133361269813989</v>
      </c>
      <c r="E235" s="3">
        <f t="shared" ca="1" si="7"/>
        <v>0</v>
      </c>
    </row>
    <row r="236" spans="4:5" ht="18.75" x14ac:dyDescent="0.3">
      <c r="D236" s="3">
        <f t="shared" ca="1" si="6"/>
        <v>104.96694173928502</v>
      </c>
      <c r="E236" s="3">
        <f t="shared" ca="1" si="7"/>
        <v>4.9669417392850193</v>
      </c>
    </row>
    <row r="237" spans="4:5" ht="18.75" x14ac:dyDescent="0.3">
      <c r="D237" s="3">
        <f t="shared" ca="1" si="6"/>
        <v>117.23925653829158</v>
      </c>
      <c r="E237" s="3">
        <f t="shared" ca="1" si="7"/>
        <v>17.239256538291585</v>
      </c>
    </row>
    <row r="238" spans="4:5" ht="18.75" x14ac:dyDescent="0.3">
      <c r="D238" s="3">
        <f t="shared" ca="1" si="6"/>
        <v>136.77704032107368</v>
      </c>
      <c r="E238" s="3">
        <f t="shared" ca="1" si="7"/>
        <v>36.777040321073684</v>
      </c>
    </row>
    <row r="239" spans="4:5" ht="18.75" x14ac:dyDescent="0.3">
      <c r="D239" s="3">
        <f t="shared" ca="1" si="6"/>
        <v>129.14099086680329</v>
      </c>
      <c r="E239" s="3">
        <f t="shared" ca="1" si="7"/>
        <v>29.140990866803293</v>
      </c>
    </row>
    <row r="240" spans="4:5" ht="18.75" x14ac:dyDescent="0.3">
      <c r="D240" s="3">
        <f t="shared" ca="1" si="6"/>
        <v>78.199288463319533</v>
      </c>
      <c r="E240" s="3">
        <f t="shared" ca="1" si="7"/>
        <v>0</v>
      </c>
    </row>
    <row r="241" spans="4:5" ht="18.75" x14ac:dyDescent="0.3">
      <c r="D241" s="3">
        <f t="shared" ca="1" si="6"/>
        <v>91.678545500835412</v>
      </c>
      <c r="E241" s="3">
        <f t="shared" ca="1" si="7"/>
        <v>0</v>
      </c>
    </row>
    <row r="242" spans="4:5" ht="18.75" x14ac:dyDescent="0.3">
      <c r="D242" s="3">
        <f t="shared" ca="1" si="6"/>
        <v>100.10326881711987</v>
      </c>
      <c r="E242" s="3">
        <f t="shared" ca="1" si="7"/>
        <v>0.10326881711986857</v>
      </c>
    </row>
    <row r="243" spans="4:5" ht="18.75" x14ac:dyDescent="0.3">
      <c r="D243" s="3">
        <f t="shared" ca="1" si="6"/>
        <v>152.00618742075108</v>
      </c>
      <c r="E243" s="3">
        <f t="shared" ca="1" si="7"/>
        <v>52.006187420751075</v>
      </c>
    </row>
    <row r="244" spans="4:5" ht="18.75" x14ac:dyDescent="0.3">
      <c r="D244" s="3">
        <f t="shared" ca="1" si="6"/>
        <v>140.86006665964504</v>
      </c>
      <c r="E244" s="3">
        <f t="shared" ca="1" si="7"/>
        <v>40.860066659645042</v>
      </c>
    </row>
    <row r="245" spans="4:5" ht="18.75" x14ac:dyDescent="0.3">
      <c r="D245" s="3">
        <f t="shared" ca="1" si="6"/>
        <v>70.49546531366515</v>
      </c>
      <c r="E245" s="3">
        <f t="shared" ca="1" si="7"/>
        <v>0</v>
      </c>
    </row>
    <row r="246" spans="4:5" ht="18.75" x14ac:dyDescent="0.3">
      <c r="D246" s="3">
        <f t="shared" ca="1" si="6"/>
        <v>153.11002444935326</v>
      </c>
      <c r="E246" s="3">
        <f t="shared" ca="1" si="7"/>
        <v>53.110024449353261</v>
      </c>
    </row>
    <row r="247" spans="4:5" ht="18.75" x14ac:dyDescent="0.3">
      <c r="D247" s="3">
        <f t="shared" ca="1" si="6"/>
        <v>123.05331401988715</v>
      </c>
      <c r="E247" s="3">
        <f t="shared" ca="1" si="7"/>
        <v>23.053314019887154</v>
      </c>
    </row>
    <row r="248" spans="4:5" ht="18.75" x14ac:dyDescent="0.3">
      <c r="D248" s="3">
        <f t="shared" ca="1" si="6"/>
        <v>82.108126850088027</v>
      </c>
      <c r="E248" s="3">
        <f t="shared" ca="1" si="7"/>
        <v>0</v>
      </c>
    </row>
    <row r="249" spans="4:5" ht="18.75" x14ac:dyDescent="0.3">
      <c r="D249" s="3">
        <f t="shared" ca="1" si="6"/>
        <v>167.7775308585469</v>
      </c>
      <c r="E249" s="3">
        <f t="shared" ca="1" si="7"/>
        <v>67.777530858546896</v>
      </c>
    </row>
    <row r="250" spans="4:5" ht="18.75" x14ac:dyDescent="0.3">
      <c r="D250" s="3">
        <f t="shared" ca="1" si="6"/>
        <v>105.94461814799257</v>
      </c>
      <c r="E250" s="3">
        <f t="shared" ca="1" si="7"/>
        <v>5.9446181479925713</v>
      </c>
    </row>
    <row r="251" spans="4:5" ht="18.75" x14ac:dyDescent="0.3">
      <c r="D251" s="3">
        <f t="shared" ca="1" si="6"/>
        <v>91.812590446179925</v>
      </c>
      <c r="E251" s="3">
        <f t="shared" ca="1" si="7"/>
        <v>0</v>
      </c>
    </row>
    <row r="252" spans="4:5" ht="18.75" x14ac:dyDescent="0.3">
      <c r="D252" s="3">
        <f t="shared" ca="1" si="6"/>
        <v>71.622384096648688</v>
      </c>
      <c r="E252" s="3">
        <f t="shared" ca="1" si="7"/>
        <v>0</v>
      </c>
    </row>
    <row r="253" spans="4:5" ht="18.75" x14ac:dyDescent="0.3">
      <c r="D253" s="3">
        <f t="shared" ca="1" si="6"/>
        <v>78.137048703781545</v>
      </c>
      <c r="E253" s="3">
        <f t="shared" ca="1" si="7"/>
        <v>0</v>
      </c>
    </row>
    <row r="254" spans="4:5" ht="18.75" x14ac:dyDescent="0.3">
      <c r="D254" s="3">
        <f t="shared" ca="1" si="6"/>
        <v>88.330465049641688</v>
      </c>
      <c r="E254" s="3">
        <f t="shared" ca="1" si="7"/>
        <v>0</v>
      </c>
    </row>
    <row r="255" spans="4:5" ht="18.75" x14ac:dyDescent="0.3">
      <c r="D255" s="3">
        <f t="shared" ca="1" si="6"/>
        <v>187.23973666893875</v>
      </c>
      <c r="E255" s="3">
        <f t="shared" ca="1" si="7"/>
        <v>87.239736668938747</v>
      </c>
    </row>
    <row r="256" spans="4:5" ht="18.75" x14ac:dyDescent="0.3">
      <c r="D256" s="3">
        <f t="shared" ca="1" si="6"/>
        <v>118.33894997238292</v>
      </c>
      <c r="E256" s="3">
        <f t="shared" ca="1" si="7"/>
        <v>18.33894997238292</v>
      </c>
    </row>
    <row r="257" spans="4:5" ht="18.75" x14ac:dyDescent="0.3">
      <c r="D257" s="3">
        <f t="shared" ca="1" si="6"/>
        <v>180.55838943992006</v>
      </c>
      <c r="E257" s="3">
        <f t="shared" ca="1" si="7"/>
        <v>80.558389439920063</v>
      </c>
    </row>
    <row r="258" spans="4:5" ht="18.75" x14ac:dyDescent="0.3">
      <c r="D258" s="3">
        <f t="shared" ca="1" si="6"/>
        <v>136.34458755563861</v>
      </c>
      <c r="E258" s="3">
        <f t="shared" ca="1" si="7"/>
        <v>36.344587555638611</v>
      </c>
    </row>
    <row r="259" spans="4:5" ht="18.75" x14ac:dyDescent="0.3">
      <c r="D259" s="3">
        <f t="shared" ref="D259:D322" ca="1" si="8">$B$4*EXP(($B$7-$B$8*$B$8*0.5)*$B$6+$B$8*SQRT($B$6)*_xlfn.NORM.S.INV(RAND()))</f>
        <v>124.22596707609843</v>
      </c>
      <c r="E259" s="3">
        <f t="shared" ref="E259:E322" ca="1" si="9">IF($B$3="call",MAX(D259-$B$5,0),MAX($B$5-D259,0))</f>
        <v>24.225967076098428</v>
      </c>
    </row>
    <row r="260" spans="4:5" ht="18.75" x14ac:dyDescent="0.3">
      <c r="D260" s="3">
        <f t="shared" ca="1" si="8"/>
        <v>86.904421988189327</v>
      </c>
      <c r="E260" s="3">
        <f t="shared" ca="1" si="9"/>
        <v>0</v>
      </c>
    </row>
    <row r="261" spans="4:5" ht="18.75" x14ac:dyDescent="0.3">
      <c r="D261" s="3">
        <f t="shared" ca="1" si="8"/>
        <v>130.73311710548705</v>
      </c>
      <c r="E261" s="3">
        <f t="shared" ca="1" si="9"/>
        <v>30.733117105487054</v>
      </c>
    </row>
    <row r="262" spans="4:5" ht="18.75" x14ac:dyDescent="0.3">
      <c r="D262" s="3">
        <f t="shared" ca="1" si="8"/>
        <v>196.61783939044253</v>
      </c>
      <c r="E262" s="3">
        <f t="shared" ca="1" si="9"/>
        <v>96.617839390442526</v>
      </c>
    </row>
    <row r="263" spans="4:5" ht="18.75" x14ac:dyDescent="0.3">
      <c r="D263" s="3">
        <f t="shared" ca="1" si="8"/>
        <v>134.89971754827425</v>
      </c>
      <c r="E263" s="3">
        <f t="shared" ca="1" si="9"/>
        <v>34.899717548274253</v>
      </c>
    </row>
    <row r="264" spans="4:5" ht="18.75" x14ac:dyDescent="0.3">
      <c r="D264" s="3">
        <f t="shared" ca="1" si="8"/>
        <v>116.11990654644681</v>
      </c>
      <c r="E264" s="3">
        <f t="shared" ca="1" si="9"/>
        <v>16.119906546446813</v>
      </c>
    </row>
    <row r="265" spans="4:5" ht="18.75" x14ac:dyDescent="0.3">
      <c r="D265" s="3">
        <f t="shared" ca="1" si="8"/>
        <v>128.53954075525604</v>
      </c>
      <c r="E265" s="3">
        <f t="shared" ca="1" si="9"/>
        <v>28.539540755256041</v>
      </c>
    </row>
    <row r="266" spans="4:5" ht="18.75" x14ac:dyDescent="0.3">
      <c r="D266" s="3">
        <f t="shared" ca="1" si="8"/>
        <v>150.19980100304531</v>
      </c>
      <c r="E266" s="3">
        <f t="shared" ca="1" si="9"/>
        <v>50.199801003045309</v>
      </c>
    </row>
    <row r="267" spans="4:5" ht="18.75" x14ac:dyDescent="0.3">
      <c r="D267" s="3">
        <f t="shared" ca="1" si="8"/>
        <v>120.18685488640584</v>
      </c>
      <c r="E267" s="3">
        <f t="shared" ca="1" si="9"/>
        <v>20.18685488640584</v>
      </c>
    </row>
    <row r="268" spans="4:5" ht="18.75" x14ac:dyDescent="0.3">
      <c r="D268" s="3">
        <f t="shared" ca="1" si="8"/>
        <v>115.48537530098955</v>
      </c>
      <c r="E268" s="3">
        <f t="shared" ca="1" si="9"/>
        <v>15.485375300989546</v>
      </c>
    </row>
    <row r="269" spans="4:5" ht="18.75" x14ac:dyDescent="0.3">
      <c r="D269" s="3">
        <f t="shared" ca="1" si="8"/>
        <v>151.6602244565037</v>
      </c>
      <c r="E269" s="3">
        <f t="shared" ca="1" si="9"/>
        <v>51.660224456503698</v>
      </c>
    </row>
    <row r="270" spans="4:5" ht="18.75" x14ac:dyDescent="0.3">
      <c r="D270" s="3">
        <f t="shared" ca="1" si="8"/>
        <v>110.25206767794531</v>
      </c>
      <c r="E270" s="3">
        <f t="shared" ca="1" si="9"/>
        <v>10.252067677945305</v>
      </c>
    </row>
    <row r="271" spans="4:5" ht="18.75" x14ac:dyDescent="0.3">
      <c r="D271" s="3">
        <f t="shared" ca="1" si="8"/>
        <v>87.907083303015781</v>
      </c>
      <c r="E271" s="3">
        <f t="shared" ca="1" si="9"/>
        <v>0</v>
      </c>
    </row>
    <row r="272" spans="4:5" ht="18.75" x14ac:dyDescent="0.3">
      <c r="D272" s="3">
        <f t="shared" ca="1" si="8"/>
        <v>95.554230472122597</v>
      </c>
      <c r="E272" s="3">
        <f t="shared" ca="1" si="9"/>
        <v>0</v>
      </c>
    </row>
    <row r="273" spans="4:5" ht="18.75" x14ac:dyDescent="0.3">
      <c r="D273" s="3">
        <f t="shared" ca="1" si="8"/>
        <v>204.18454211504599</v>
      </c>
      <c r="E273" s="3">
        <f t="shared" ca="1" si="9"/>
        <v>104.18454211504599</v>
      </c>
    </row>
    <row r="274" spans="4:5" ht="18.75" x14ac:dyDescent="0.3">
      <c r="D274" s="3">
        <f t="shared" ca="1" si="8"/>
        <v>122.03884958579098</v>
      </c>
      <c r="E274" s="3">
        <f t="shared" ca="1" si="9"/>
        <v>22.038849585790985</v>
      </c>
    </row>
    <row r="275" spans="4:5" ht="18.75" x14ac:dyDescent="0.3">
      <c r="D275" s="3">
        <f t="shared" ca="1" si="8"/>
        <v>75.06923480626125</v>
      </c>
      <c r="E275" s="3">
        <f t="shared" ca="1" si="9"/>
        <v>0</v>
      </c>
    </row>
    <row r="276" spans="4:5" ht="18.75" x14ac:dyDescent="0.3">
      <c r="D276" s="3">
        <f t="shared" ca="1" si="8"/>
        <v>102.86429061994946</v>
      </c>
      <c r="E276" s="3">
        <f t="shared" ca="1" si="9"/>
        <v>2.8642906199494576</v>
      </c>
    </row>
    <row r="277" spans="4:5" ht="18.75" x14ac:dyDescent="0.3">
      <c r="D277" s="3">
        <f t="shared" ca="1" si="8"/>
        <v>91.282582486949167</v>
      </c>
      <c r="E277" s="3">
        <f t="shared" ca="1" si="9"/>
        <v>0</v>
      </c>
    </row>
    <row r="278" spans="4:5" ht="18.75" x14ac:dyDescent="0.3">
      <c r="D278" s="3">
        <f t="shared" ca="1" si="8"/>
        <v>140.98147084104147</v>
      </c>
      <c r="E278" s="3">
        <f t="shared" ca="1" si="9"/>
        <v>40.981470841041471</v>
      </c>
    </row>
    <row r="279" spans="4:5" ht="18.75" x14ac:dyDescent="0.3">
      <c r="D279" s="3">
        <f t="shared" ca="1" si="8"/>
        <v>141.22459597232057</v>
      </c>
      <c r="E279" s="3">
        <f t="shared" ca="1" si="9"/>
        <v>41.224595972320571</v>
      </c>
    </row>
    <row r="280" spans="4:5" ht="18.75" x14ac:dyDescent="0.3">
      <c r="D280" s="3">
        <f t="shared" ca="1" si="8"/>
        <v>58.727038204264858</v>
      </c>
      <c r="E280" s="3">
        <f t="shared" ca="1" si="9"/>
        <v>0</v>
      </c>
    </row>
    <row r="281" spans="4:5" ht="18.75" x14ac:dyDescent="0.3">
      <c r="D281" s="3">
        <f t="shared" ca="1" si="8"/>
        <v>99.863519961039756</v>
      </c>
      <c r="E281" s="3">
        <f t="shared" ca="1" si="9"/>
        <v>0</v>
      </c>
    </row>
    <row r="282" spans="4:5" ht="18.75" x14ac:dyDescent="0.3">
      <c r="D282" s="3">
        <f t="shared" ca="1" si="8"/>
        <v>97.673014451038014</v>
      </c>
      <c r="E282" s="3">
        <f t="shared" ca="1" si="9"/>
        <v>0</v>
      </c>
    </row>
    <row r="283" spans="4:5" ht="18.75" x14ac:dyDescent="0.3">
      <c r="D283" s="3">
        <f t="shared" ca="1" si="8"/>
        <v>245.38736216022423</v>
      </c>
      <c r="E283" s="3">
        <f t="shared" ca="1" si="9"/>
        <v>145.38736216022423</v>
      </c>
    </row>
    <row r="284" spans="4:5" ht="18.75" x14ac:dyDescent="0.3">
      <c r="D284" s="3">
        <f t="shared" ca="1" si="8"/>
        <v>99.797472510478542</v>
      </c>
      <c r="E284" s="3">
        <f t="shared" ca="1" si="9"/>
        <v>0</v>
      </c>
    </row>
    <row r="285" spans="4:5" ht="18.75" x14ac:dyDescent="0.3">
      <c r="D285" s="3">
        <f t="shared" ca="1" si="8"/>
        <v>140.64147532260509</v>
      </c>
      <c r="E285" s="3">
        <f t="shared" ca="1" si="9"/>
        <v>40.641475322605089</v>
      </c>
    </row>
    <row r="286" spans="4:5" ht="18.75" x14ac:dyDescent="0.3">
      <c r="D286" s="3">
        <f t="shared" ca="1" si="8"/>
        <v>97.991513825327786</v>
      </c>
      <c r="E286" s="3">
        <f t="shared" ca="1" si="9"/>
        <v>0</v>
      </c>
    </row>
    <row r="287" spans="4:5" ht="18.75" x14ac:dyDescent="0.3">
      <c r="D287" s="3">
        <f t="shared" ca="1" si="8"/>
        <v>95.920357832171689</v>
      </c>
      <c r="E287" s="3">
        <f t="shared" ca="1" si="9"/>
        <v>0</v>
      </c>
    </row>
    <row r="288" spans="4:5" ht="18.75" x14ac:dyDescent="0.3">
      <c r="D288" s="3">
        <f t="shared" ca="1" si="8"/>
        <v>89.918974273691262</v>
      </c>
      <c r="E288" s="3">
        <f t="shared" ca="1" si="9"/>
        <v>0</v>
      </c>
    </row>
    <row r="289" spans="4:5" ht="18.75" x14ac:dyDescent="0.3">
      <c r="D289" s="3">
        <f t="shared" ca="1" si="8"/>
        <v>146.67953768448481</v>
      </c>
      <c r="E289" s="3">
        <f t="shared" ca="1" si="9"/>
        <v>46.679537684484814</v>
      </c>
    </row>
    <row r="290" spans="4:5" ht="18.75" x14ac:dyDescent="0.3">
      <c r="D290" s="3">
        <f t="shared" ca="1" si="8"/>
        <v>112.6801820675139</v>
      </c>
      <c r="E290" s="3">
        <f t="shared" ca="1" si="9"/>
        <v>12.680182067513897</v>
      </c>
    </row>
    <row r="291" spans="4:5" ht="18.75" x14ac:dyDescent="0.3">
      <c r="D291" s="3">
        <f t="shared" ca="1" si="8"/>
        <v>133.58645158151481</v>
      </c>
      <c r="E291" s="3">
        <f t="shared" ca="1" si="9"/>
        <v>33.586451581514808</v>
      </c>
    </row>
    <row r="292" spans="4:5" ht="18.75" x14ac:dyDescent="0.3">
      <c r="D292" s="3">
        <f t="shared" ca="1" si="8"/>
        <v>105.46590724250512</v>
      </c>
      <c r="E292" s="3">
        <f t="shared" ca="1" si="9"/>
        <v>5.4659072425051249</v>
      </c>
    </row>
    <row r="293" spans="4:5" ht="18.75" x14ac:dyDescent="0.3">
      <c r="D293" s="3">
        <f t="shared" ca="1" si="8"/>
        <v>82.361377710530732</v>
      </c>
      <c r="E293" s="3">
        <f t="shared" ca="1" si="9"/>
        <v>0</v>
      </c>
    </row>
    <row r="294" spans="4:5" ht="18.75" x14ac:dyDescent="0.3">
      <c r="D294" s="3">
        <f t="shared" ca="1" si="8"/>
        <v>117.78178274107394</v>
      </c>
      <c r="E294" s="3">
        <f t="shared" ca="1" si="9"/>
        <v>17.78178274107394</v>
      </c>
    </row>
    <row r="295" spans="4:5" ht="18.75" x14ac:dyDescent="0.3">
      <c r="D295" s="3">
        <f t="shared" ca="1" si="8"/>
        <v>121.16559988859707</v>
      </c>
      <c r="E295" s="3">
        <f t="shared" ca="1" si="9"/>
        <v>21.165599888597072</v>
      </c>
    </row>
    <row r="296" spans="4:5" ht="18.75" x14ac:dyDescent="0.3">
      <c r="D296" s="3">
        <f t="shared" ca="1" si="8"/>
        <v>141.86432837422046</v>
      </c>
      <c r="E296" s="3">
        <f t="shared" ca="1" si="9"/>
        <v>41.864328374220463</v>
      </c>
    </row>
    <row r="297" spans="4:5" ht="18.75" x14ac:dyDescent="0.3">
      <c r="D297" s="3">
        <f t="shared" ca="1" si="8"/>
        <v>153.9246733445471</v>
      </c>
      <c r="E297" s="3">
        <f t="shared" ca="1" si="9"/>
        <v>53.924673344547102</v>
      </c>
    </row>
    <row r="298" spans="4:5" ht="18.75" x14ac:dyDescent="0.3">
      <c r="D298" s="3">
        <f t="shared" ca="1" si="8"/>
        <v>85.140367726213668</v>
      </c>
      <c r="E298" s="3">
        <f t="shared" ca="1" si="9"/>
        <v>0</v>
      </c>
    </row>
    <row r="299" spans="4:5" ht="18.75" x14ac:dyDescent="0.3">
      <c r="D299" s="3">
        <f t="shared" ca="1" si="8"/>
        <v>109.74939575078623</v>
      </c>
      <c r="E299" s="3">
        <f t="shared" ca="1" si="9"/>
        <v>9.7493957507862348</v>
      </c>
    </row>
    <row r="300" spans="4:5" ht="18.75" x14ac:dyDescent="0.3">
      <c r="D300" s="3">
        <f t="shared" ca="1" si="8"/>
        <v>93.76593429374617</v>
      </c>
      <c r="E300" s="3">
        <f t="shared" ca="1" si="9"/>
        <v>0</v>
      </c>
    </row>
    <row r="301" spans="4:5" ht="18.75" x14ac:dyDescent="0.3">
      <c r="D301" s="3">
        <f t="shared" ca="1" si="8"/>
        <v>136.66598216611263</v>
      </c>
      <c r="E301" s="3">
        <f t="shared" ca="1" si="9"/>
        <v>36.665982166112627</v>
      </c>
    </row>
    <row r="302" spans="4:5" ht="18.75" x14ac:dyDescent="0.3">
      <c r="D302" s="3">
        <f t="shared" ca="1" si="8"/>
        <v>143.47522917163593</v>
      </c>
      <c r="E302" s="3">
        <f t="shared" ca="1" si="9"/>
        <v>43.475229171635931</v>
      </c>
    </row>
    <row r="303" spans="4:5" ht="18.75" x14ac:dyDescent="0.3">
      <c r="D303" s="3">
        <f t="shared" ca="1" si="8"/>
        <v>59.491571236880034</v>
      </c>
      <c r="E303" s="3">
        <f t="shared" ca="1" si="9"/>
        <v>0</v>
      </c>
    </row>
    <row r="304" spans="4:5" ht="18.75" x14ac:dyDescent="0.3">
      <c r="D304" s="3">
        <f t="shared" ca="1" si="8"/>
        <v>93.004881067852921</v>
      </c>
      <c r="E304" s="3">
        <f t="shared" ca="1" si="9"/>
        <v>0</v>
      </c>
    </row>
    <row r="305" spans="4:5" ht="18.75" x14ac:dyDescent="0.3">
      <c r="D305" s="3">
        <f t="shared" ca="1" si="8"/>
        <v>88.990925566588089</v>
      </c>
      <c r="E305" s="3">
        <f t="shared" ca="1" si="9"/>
        <v>0</v>
      </c>
    </row>
    <row r="306" spans="4:5" ht="18.75" x14ac:dyDescent="0.3">
      <c r="D306" s="3">
        <f t="shared" ca="1" si="8"/>
        <v>146.91218398893628</v>
      </c>
      <c r="E306" s="3">
        <f t="shared" ca="1" si="9"/>
        <v>46.912183988936278</v>
      </c>
    </row>
    <row r="307" spans="4:5" ht="18.75" x14ac:dyDescent="0.3">
      <c r="D307" s="3">
        <f t="shared" ca="1" si="8"/>
        <v>125.36679200265965</v>
      </c>
      <c r="E307" s="3">
        <f t="shared" ca="1" si="9"/>
        <v>25.366792002659651</v>
      </c>
    </row>
    <row r="308" spans="4:5" ht="18.75" x14ac:dyDescent="0.3">
      <c r="D308" s="3">
        <f t="shared" ca="1" si="8"/>
        <v>101.28312377983089</v>
      </c>
      <c r="E308" s="3">
        <f t="shared" ca="1" si="9"/>
        <v>1.2831237798308877</v>
      </c>
    </row>
    <row r="309" spans="4:5" ht="18.75" x14ac:dyDescent="0.3">
      <c r="D309" s="3">
        <f t="shared" ca="1" si="8"/>
        <v>195.96985697631888</v>
      </c>
      <c r="E309" s="3">
        <f t="shared" ca="1" si="9"/>
        <v>95.96985697631888</v>
      </c>
    </row>
    <row r="310" spans="4:5" ht="18.75" x14ac:dyDescent="0.3">
      <c r="D310" s="3">
        <f t="shared" ca="1" si="8"/>
        <v>199.54612560475653</v>
      </c>
      <c r="E310" s="3">
        <f t="shared" ca="1" si="9"/>
        <v>99.546125604756526</v>
      </c>
    </row>
    <row r="311" spans="4:5" ht="18.75" x14ac:dyDescent="0.3">
      <c r="D311" s="3">
        <f t="shared" ca="1" si="8"/>
        <v>188.0742623080294</v>
      </c>
      <c r="E311" s="3">
        <f t="shared" ca="1" si="9"/>
        <v>88.074262308029404</v>
      </c>
    </row>
    <row r="312" spans="4:5" ht="18.75" x14ac:dyDescent="0.3">
      <c r="D312" s="3">
        <f t="shared" ca="1" si="8"/>
        <v>173.90535763003513</v>
      </c>
      <c r="E312" s="3">
        <f t="shared" ca="1" si="9"/>
        <v>73.905357630035127</v>
      </c>
    </row>
    <row r="313" spans="4:5" ht="18.75" x14ac:dyDescent="0.3">
      <c r="D313" s="3">
        <f t="shared" ca="1" si="8"/>
        <v>164.80077079113295</v>
      </c>
      <c r="E313" s="3">
        <f t="shared" ca="1" si="9"/>
        <v>64.800770791132948</v>
      </c>
    </row>
    <row r="314" spans="4:5" ht="18.75" x14ac:dyDescent="0.3">
      <c r="D314" s="3">
        <f t="shared" ca="1" si="8"/>
        <v>113.06792928152298</v>
      </c>
      <c r="E314" s="3">
        <f t="shared" ca="1" si="9"/>
        <v>13.067929281522979</v>
      </c>
    </row>
    <row r="315" spans="4:5" ht="18.75" x14ac:dyDescent="0.3">
      <c r="D315" s="3">
        <f t="shared" ca="1" si="8"/>
        <v>184.52496179958732</v>
      </c>
      <c r="E315" s="3">
        <f t="shared" ca="1" si="9"/>
        <v>84.524961799587317</v>
      </c>
    </row>
    <row r="316" spans="4:5" ht="18.75" x14ac:dyDescent="0.3">
      <c r="D316" s="3">
        <f t="shared" ca="1" si="8"/>
        <v>159.13292615678714</v>
      </c>
      <c r="E316" s="3">
        <f t="shared" ca="1" si="9"/>
        <v>59.132926156787136</v>
      </c>
    </row>
    <row r="317" spans="4:5" ht="18.75" x14ac:dyDescent="0.3">
      <c r="D317" s="3">
        <f t="shared" ca="1" si="8"/>
        <v>114.9010835894853</v>
      </c>
      <c r="E317" s="3">
        <f t="shared" ca="1" si="9"/>
        <v>14.901083589485296</v>
      </c>
    </row>
    <row r="318" spans="4:5" ht="18.75" x14ac:dyDescent="0.3">
      <c r="D318" s="3">
        <f t="shared" ca="1" si="8"/>
        <v>106.69886118968672</v>
      </c>
      <c r="E318" s="3">
        <f t="shared" ca="1" si="9"/>
        <v>6.6988611896867241</v>
      </c>
    </row>
    <row r="319" spans="4:5" ht="18.75" x14ac:dyDescent="0.3">
      <c r="D319" s="3">
        <f t="shared" ca="1" si="8"/>
        <v>114.48665357785097</v>
      </c>
      <c r="E319" s="3">
        <f t="shared" ca="1" si="9"/>
        <v>14.486653577850973</v>
      </c>
    </row>
    <row r="320" spans="4:5" ht="18.75" x14ac:dyDescent="0.3">
      <c r="D320" s="3">
        <f t="shared" ca="1" si="8"/>
        <v>64.374576884462584</v>
      </c>
      <c r="E320" s="3">
        <f t="shared" ca="1" si="9"/>
        <v>0</v>
      </c>
    </row>
    <row r="321" spans="4:5" ht="18.75" x14ac:dyDescent="0.3">
      <c r="D321" s="3">
        <f t="shared" ca="1" si="8"/>
        <v>124.03619301727731</v>
      </c>
      <c r="E321" s="3">
        <f t="shared" ca="1" si="9"/>
        <v>24.036193017277313</v>
      </c>
    </row>
    <row r="322" spans="4:5" ht="18.75" x14ac:dyDescent="0.3">
      <c r="D322" s="3">
        <f t="shared" ca="1" si="8"/>
        <v>147.20254342602433</v>
      </c>
      <c r="E322" s="3">
        <f t="shared" ca="1" si="9"/>
        <v>47.202543426024334</v>
      </c>
    </row>
    <row r="323" spans="4:5" ht="18.75" x14ac:dyDescent="0.3">
      <c r="D323" s="3">
        <f t="shared" ref="D323:D386" ca="1" si="10">$B$4*EXP(($B$7-$B$8*$B$8*0.5)*$B$6+$B$8*SQRT($B$6)*_xlfn.NORM.S.INV(RAND()))</f>
        <v>105.7234789892247</v>
      </c>
      <c r="E323" s="3">
        <f t="shared" ref="E323:E386" ca="1" si="11">IF($B$3="call",MAX(D323-$B$5,0),MAX($B$5-D323,0))</f>
        <v>5.7234789892247022</v>
      </c>
    </row>
    <row r="324" spans="4:5" ht="18.75" x14ac:dyDescent="0.3">
      <c r="D324" s="3">
        <f t="shared" ca="1" si="10"/>
        <v>146.12533108307758</v>
      </c>
      <c r="E324" s="3">
        <f t="shared" ca="1" si="11"/>
        <v>46.125331083077583</v>
      </c>
    </row>
    <row r="325" spans="4:5" ht="18.75" x14ac:dyDescent="0.3">
      <c r="D325" s="3">
        <f t="shared" ca="1" si="10"/>
        <v>145.13920127572763</v>
      </c>
      <c r="E325" s="3">
        <f t="shared" ca="1" si="11"/>
        <v>45.139201275727629</v>
      </c>
    </row>
    <row r="326" spans="4:5" ht="18.75" x14ac:dyDescent="0.3">
      <c r="D326" s="3">
        <f t="shared" ca="1" si="10"/>
        <v>137.0424071040315</v>
      </c>
      <c r="E326" s="3">
        <f t="shared" ca="1" si="11"/>
        <v>37.042407104031497</v>
      </c>
    </row>
    <row r="327" spans="4:5" ht="18.75" x14ac:dyDescent="0.3">
      <c r="D327" s="3">
        <f t="shared" ca="1" si="10"/>
        <v>89.891806846675735</v>
      </c>
      <c r="E327" s="3">
        <f t="shared" ca="1" si="11"/>
        <v>0</v>
      </c>
    </row>
    <row r="328" spans="4:5" ht="18.75" x14ac:dyDescent="0.3">
      <c r="D328" s="3">
        <f t="shared" ca="1" si="10"/>
        <v>82.154071991223105</v>
      </c>
      <c r="E328" s="3">
        <f t="shared" ca="1" si="11"/>
        <v>0</v>
      </c>
    </row>
    <row r="329" spans="4:5" ht="18.75" x14ac:dyDescent="0.3">
      <c r="D329" s="3">
        <f t="shared" ca="1" si="10"/>
        <v>103.61494296638925</v>
      </c>
      <c r="E329" s="3">
        <f t="shared" ca="1" si="11"/>
        <v>3.6149429663892505</v>
      </c>
    </row>
    <row r="330" spans="4:5" ht="18.75" x14ac:dyDescent="0.3">
      <c r="D330" s="3">
        <f t="shared" ca="1" si="10"/>
        <v>93.606724916988142</v>
      </c>
      <c r="E330" s="3">
        <f t="shared" ca="1" si="11"/>
        <v>0</v>
      </c>
    </row>
    <row r="331" spans="4:5" ht="18.75" x14ac:dyDescent="0.3">
      <c r="D331" s="3">
        <f t="shared" ca="1" si="10"/>
        <v>127.57492583580634</v>
      </c>
      <c r="E331" s="3">
        <f t="shared" ca="1" si="11"/>
        <v>27.57492583580634</v>
      </c>
    </row>
    <row r="332" spans="4:5" ht="18.75" x14ac:dyDescent="0.3">
      <c r="D332" s="3">
        <f t="shared" ca="1" si="10"/>
        <v>133.37871215018924</v>
      </c>
      <c r="E332" s="3">
        <f t="shared" ca="1" si="11"/>
        <v>33.378712150189244</v>
      </c>
    </row>
    <row r="333" spans="4:5" ht="18.75" x14ac:dyDescent="0.3">
      <c r="D333" s="3">
        <f t="shared" ca="1" si="10"/>
        <v>117.75902401301548</v>
      </c>
      <c r="E333" s="3">
        <f t="shared" ca="1" si="11"/>
        <v>17.759024013015477</v>
      </c>
    </row>
    <row r="334" spans="4:5" ht="18.75" x14ac:dyDescent="0.3">
      <c r="D334" s="3">
        <f t="shared" ca="1" si="10"/>
        <v>170.70226850685631</v>
      </c>
      <c r="E334" s="3">
        <f t="shared" ca="1" si="11"/>
        <v>70.702268506856313</v>
      </c>
    </row>
    <row r="335" spans="4:5" ht="18.75" x14ac:dyDescent="0.3">
      <c r="D335" s="3">
        <f t="shared" ca="1" si="10"/>
        <v>103.09034157226691</v>
      </c>
      <c r="E335" s="3">
        <f t="shared" ca="1" si="11"/>
        <v>3.0903415722669081</v>
      </c>
    </row>
    <row r="336" spans="4:5" ht="18.75" x14ac:dyDescent="0.3">
      <c r="D336" s="3">
        <f t="shared" ca="1" si="10"/>
        <v>132.40826038097444</v>
      </c>
      <c r="E336" s="3">
        <f t="shared" ca="1" si="11"/>
        <v>32.40826038097444</v>
      </c>
    </row>
    <row r="337" spans="4:5" ht="18.75" x14ac:dyDescent="0.3">
      <c r="D337" s="3">
        <f t="shared" ca="1" si="10"/>
        <v>169.97580152981692</v>
      </c>
      <c r="E337" s="3">
        <f t="shared" ca="1" si="11"/>
        <v>69.97580152981692</v>
      </c>
    </row>
    <row r="338" spans="4:5" ht="18.75" x14ac:dyDescent="0.3">
      <c r="D338" s="3">
        <f t="shared" ca="1" si="10"/>
        <v>165.09764727516546</v>
      </c>
      <c r="E338" s="3">
        <f t="shared" ca="1" si="11"/>
        <v>65.097647275165457</v>
      </c>
    </row>
    <row r="339" spans="4:5" ht="18.75" x14ac:dyDescent="0.3">
      <c r="D339" s="3">
        <f t="shared" ca="1" si="10"/>
        <v>76.73875726984825</v>
      </c>
      <c r="E339" s="3">
        <f t="shared" ca="1" si="11"/>
        <v>0</v>
      </c>
    </row>
    <row r="340" spans="4:5" ht="18.75" x14ac:dyDescent="0.3">
      <c r="D340" s="3">
        <f t="shared" ca="1" si="10"/>
        <v>150.22511307994154</v>
      </c>
      <c r="E340" s="3">
        <f t="shared" ca="1" si="11"/>
        <v>50.225113079941536</v>
      </c>
    </row>
    <row r="341" spans="4:5" ht="18.75" x14ac:dyDescent="0.3">
      <c r="D341" s="3">
        <f t="shared" ca="1" si="10"/>
        <v>148.51316872284863</v>
      </c>
      <c r="E341" s="3">
        <f t="shared" ca="1" si="11"/>
        <v>48.513168722848633</v>
      </c>
    </row>
    <row r="342" spans="4:5" ht="18.75" x14ac:dyDescent="0.3">
      <c r="D342" s="3">
        <f t="shared" ca="1" si="10"/>
        <v>111.47067283007004</v>
      </c>
      <c r="E342" s="3">
        <f t="shared" ca="1" si="11"/>
        <v>11.470672830070043</v>
      </c>
    </row>
    <row r="343" spans="4:5" ht="18.75" x14ac:dyDescent="0.3">
      <c r="D343" s="3">
        <f t="shared" ca="1" si="10"/>
        <v>81.1296253761939</v>
      </c>
      <c r="E343" s="3">
        <f t="shared" ca="1" si="11"/>
        <v>0</v>
      </c>
    </row>
    <row r="344" spans="4:5" ht="18.75" x14ac:dyDescent="0.3">
      <c r="D344" s="3">
        <f t="shared" ca="1" si="10"/>
        <v>177.82609653958022</v>
      </c>
      <c r="E344" s="3">
        <f t="shared" ca="1" si="11"/>
        <v>77.82609653958022</v>
      </c>
    </row>
    <row r="345" spans="4:5" ht="18.75" x14ac:dyDescent="0.3">
      <c r="D345" s="3">
        <f t="shared" ca="1" si="10"/>
        <v>145.81394274796429</v>
      </c>
      <c r="E345" s="3">
        <f t="shared" ca="1" si="11"/>
        <v>45.81394274796429</v>
      </c>
    </row>
    <row r="346" spans="4:5" ht="18.75" x14ac:dyDescent="0.3">
      <c r="D346" s="3">
        <f t="shared" ca="1" si="10"/>
        <v>111.31132170889262</v>
      </c>
      <c r="E346" s="3">
        <f t="shared" ca="1" si="11"/>
        <v>11.311321708892621</v>
      </c>
    </row>
    <row r="347" spans="4:5" ht="18.75" x14ac:dyDescent="0.3">
      <c r="D347" s="3">
        <f t="shared" ca="1" si="10"/>
        <v>130.79436414677693</v>
      </c>
      <c r="E347" s="3">
        <f t="shared" ca="1" si="11"/>
        <v>30.794364146776928</v>
      </c>
    </row>
    <row r="348" spans="4:5" ht="18.75" x14ac:dyDescent="0.3">
      <c r="D348" s="3">
        <f t="shared" ca="1" si="10"/>
        <v>126.42693393043307</v>
      </c>
      <c r="E348" s="3">
        <f t="shared" ca="1" si="11"/>
        <v>26.426933930433066</v>
      </c>
    </row>
    <row r="349" spans="4:5" ht="18.75" x14ac:dyDescent="0.3">
      <c r="D349" s="3">
        <f t="shared" ca="1" si="10"/>
        <v>121.83452309324761</v>
      </c>
      <c r="E349" s="3">
        <f t="shared" ca="1" si="11"/>
        <v>21.834523093247611</v>
      </c>
    </row>
    <row r="350" spans="4:5" ht="18.75" x14ac:dyDescent="0.3">
      <c r="D350" s="3">
        <f t="shared" ca="1" si="10"/>
        <v>127.75972338914391</v>
      </c>
      <c r="E350" s="3">
        <f t="shared" ca="1" si="11"/>
        <v>27.759723389143915</v>
      </c>
    </row>
    <row r="351" spans="4:5" ht="18.75" x14ac:dyDescent="0.3">
      <c r="D351" s="3">
        <f t="shared" ca="1" si="10"/>
        <v>91.857959541963481</v>
      </c>
      <c r="E351" s="3">
        <f t="shared" ca="1" si="11"/>
        <v>0</v>
      </c>
    </row>
    <row r="352" spans="4:5" ht="18.75" x14ac:dyDescent="0.3">
      <c r="D352" s="3">
        <f t="shared" ca="1" si="10"/>
        <v>94.806280155831885</v>
      </c>
      <c r="E352" s="3">
        <f t="shared" ca="1" si="11"/>
        <v>0</v>
      </c>
    </row>
    <row r="353" spans="4:5" ht="18.75" x14ac:dyDescent="0.3">
      <c r="D353" s="3">
        <f t="shared" ca="1" si="10"/>
        <v>144.80824340385544</v>
      </c>
      <c r="E353" s="3">
        <f t="shared" ca="1" si="11"/>
        <v>44.808243403855442</v>
      </c>
    </row>
    <row r="354" spans="4:5" ht="18.75" x14ac:dyDescent="0.3">
      <c r="D354" s="3">
        <f t="shared" ca="1" si="10"/>
        <v>108.0271698703944</v>
      </c>
      <c r="E354" s="3">
        <f t="shared" ca="1" si="11"/>
        <v>8.0271698703944026</v>
      </c>
    </row>
    <row r="355" spans="4:5" ht="18.75" x14ac:dyDescent="0.3">
      <c r="D355" s="3">
        <f t="shared" ca="1" si="10"/>
        <v>75.586322866260801</v>
      </c>
      <c r="E355" s="3">
        <f t="shared" ca="1" si="11"/>
        <v>0</v>
      </c>
    </row>
    <row r="356" spans="4:5" ht="18.75" x14ac:dyDescent="0.3">
      <c r="D356" s="3">
        <f t="shared" ca="1" si="10"/>
        <v>80.706050415354554</v>
      </c>
      <c r="E356" s="3">
        <f t="shared" ca="1" si="11"/>
        <v>0</v>
      </c>
    </row>
    <row r="357" spans="4:5" ht="18.75" x14ac:dyDescent="0.3">
      <c r="D357" s="3">
        <f t="shared" ca="1" si="10"/>
        <v>96.693372864864429</v>
      </c>
      <c r="E357" s="3">
        <f t="shared" ca="1" si="11"/>
        <v>0</v>
      </c>
    </row>
    <row r="358" spans="4:5" ht="18.75" x14ac:dyDescent="0.3">
      <c r="D358" s="3">
        <f t="shared" ca="1" si="10"/>
        <v>175.67584020178171</v>
      </c>
      <c r="E358" s="3">
        <f t="shared" ca="1" si="11"/>
        <v>75.67584020178171</v>
      </c>
    </row>
    <row r="359" spans="4:5" ht="18.75" x14ac:dyDescent="0.3">
      <c r="D359" s="3">
        <f t="shared" ca="1" si="10"/>
        <v>121.38321616658696</v>
      </c>
      <c r="E359" s="3">
        <f t="shared" ca="1" si="11"/>
        <v>21.383216166586962</v>
      </c>
    </row>
    <row r="360" spans="4:5" ht="18.75" x14ac:dyDescent="0.3">
      <c r="D360" s="3">
        <f t="shared" ca="1" si="10"/>
        <v>125.49489074674854</v>
      </c>
      <c r="E360" s="3">
        <f t="shared" ca="1" si="11"/>
        <v>25.494890746748538</v>
      </c>
    </row>
    <row r="361" spans="4:5" ht="18.75" x14ac:dyDescent="0.3">
      <c r="D361" s="3">
        <f t="shared" ca="1" si="10"/>
        <v>102.80230025521317</v>
      </c>
      <c r="E361" s="3">
        <f t="shared" ca="1" si="11"/>
        <v>2.8023002552131686</v>
      </c>
    </row>
    <row r="362" spans="4:5" ht="18.75" x14ac:dyDescent="0.3">
      <c r="D362" s="3">
        <f t="shared" ca="1" si="10"/>
        <v>87.005539019145374</v>
      </c>
      <c r="E362" s="3">
        <f t="shared" ca="1" si="11"/>
        <v>0</v>
      </c>
    </row>
    <row r="363" spans="4:5" ht="18.75" x14ac:dyDescent="0.3">
      <c r="D363" s="3">
        <f t="shared" ca="1" si="10"/>
        <v>105.59097969048474</v>
      </c>
      <c r="E363" s="3">
        <f t="shared" ca="1" si="11"/>
        <v>5.590979690484744</v>
      </c>
    </row>
    <row r="364" spans="4:5" ht="18.75" x14ac:dyDescent="0.3">
      <c r="D364" s="3">
        <f t="shared" ca="1" si="10"/>
        <v>128.97655516522116</v>
      </c>
      <c r="E364" s="3">
        <f t="shared" ca="1" si="11"/>
        <v>28.976555165221157</v>
      </c>
    </row>
    <row r="365" spans="4:5" ht="18.75" x14ac:dyDescent="0.3">
      <c r="D365" s="3">
        <f t="shared" ca="1" si="10"/>
        <v>72.208482257567809</v>
      </c>
      <c r="E365" s="3">
        <f t="shared" ca="1" si="11"/>
        <v>0</v>
      </c>
    </row>
    <row r="366" spans="4:5" ht="18.75" x14ac:dyDescent="0.3">
      <c r="D366" s="3">
        <f t="shared" ca="1" si="10"/>
        <v>153.09460182281688</v>
      </c>
      <c r="E366" s="3">
        <f t="shared" ca="1" si="11"/>
        <v>53.094601822816884</v>
      </c>
    </row>
    <row r="367" spans="4:5" ht="18.75" x14ac:dyDescent="0.3">
      <c r="D367" s="3">
        <f t="shared" ca="1" si="10"/>
        <v>124.29973945274145</v>
      </c>
      <c r="E367" s="3">
        <f t="shared" ca="1" si="11"/>
        <v>24.299739452741449</v>
      </c>
    </row>
    <row r="368" spans="4:5" ht="18.75" x14ac:dyDescent="0.3">
      <c r="D368" s="3">
        <f t="shared" ca="1" si="10"/>
        <v>109.34713520428123</v>
      </c>
      <c r="E368" s="3">
        <f t="shared" ca="1" si="11"/>
        <v>9.3471352042812299</v>
      </c>
    </row>
    <row r="369" spans="4:5" ht="18.75" x14ac:dyDescent="0.3">
      <c r="D369" s="3">
        <f t="shared" ca="1" si="10"/>
        <v>141.13639608489177</v>
      </c>
      <c r="E369" s="3">
        <f t="shared" ca="1" si="11"/>
        <v>41.136396084891771</v>
      </c>
    </row>
    <row r="370" spans="4:5" ht="18.75" x14ac:dyDescent="0.3">
      <c r="D370" s="3">
        <f t="shared" ca="1" si="10"/>
        <v>111.25173869690525</v>
      </c>
      <c r="E370" s="3">
        <f t="shared" ca="1" si="11"/>
        <v>11.25173869690525</v>
      </c>
    </row>
    <row r="371" spans="4:5" ht="18.75" x14ac:dyDescent="0.3">
      <c r="D371" s="3">
        <f t="shared" ca="1" si="10"/>
        <v>185.41139542864545</v>
      </c>
      <c r="E371" s="3">
        <f t="shared" ca="1" si="11"/>
        <v>85.411395428645449</v>
      </c>
    </row>
    <row r="372" spans="4:5" ht="18.75" x14ac:dyDescent="0.3">
      <c r="D372" s="3">
        <f t="shared" ca="1" si="10"/>
        <v>123.67445298702431</v>
      </c>
      <c r="E372" s="3">
        <f t="shared" ca="1" si="11"/>
        <v>23.67445298702431</v>
      </c>
    </row>
    <row r="373" spans="4:5" ht="18.75" x14ac:dyDescent="0.3">
      <c r="D373" s="3">
        <f t="shared" ca="1" si="10"/>
        <v>103.18624101132123</v>
      </c>
      <c r="E373" s="3">
        <f t="shared" ca="1" si="11"/>
        <v>3.1862410113212292</v>
      </c>
    </row>
    <row r="374" spans="4:5" ht="18.75" x14ac:dyDescent="0.3">
      <c r="D374" s="3">
        <f t="shared" ca="1" si="10"/>
        <v>141.12751975884066</v>
      </c>
      <c r="E374" s="3">
        <f t="shared" ca="1" si="11"/>
        <v>41.127519758840663</v>
      </c>
    </row>
    <row r="375" spans="4:5" ht="18.75" x14ac:dyDescent="0.3">
      <c r="D375" s="3">
        <f t="shared" ca="1" si="10"/>
        <v>124.18782543531685</v>
      </c>
      <c r="E375" s="3">
        <f t="shared" ca="1" si="11"/>
        <v>24.187825435316853</v>
      </c>
    </row>
    <row r="376" spans="4:5" ht="18.75" x14ac:dyDescent="0.3">
      <c r="D376" s="3">
        <f t="shared" ca="1" si="10"/>
        <v>78.995477971503618</v>
      </c>
      <c r="E376" s="3">
        <f t="shared" ca="1" si="11"/>
        <v>0</v>
      </c>
    </row>
    <row r="377" spans="4:5" ht="18.75" x14ac:dyDescent="0.3">
      <c r="D377" s="3">
        <f t="shared" ca="1" si="10"/>
        <v>125.0953440059056</v>
      </c>
      <c r="E377" s="3">
        <f t="shared" ca="1" si="11"/>
        <v>25.095344005905602</v>
      </c>
    </row>
    <row r="378" spans="4:5" ht="18.75" x14ac:dyDescent="0.3">
      <c r="D378" s="3">
        <f t="shared" ca="1" si="10"/>
        <v>107.01679023167185</v>
      </c>
      <c r="E378" s="3">
        <f t="shared" ca="1" si="11"/>
        <v>7.0167902316718482</v>
      </c>
    </row>
    <row r="379" spans="4:5" ht="18.75" x14ac:dyDescent="0.3">
      <c r="D379" s="3">
        <f t="shared" ca="1" si="10"/>
        <v>107.23537259350834</v>
      </c>
      <c r="E379" s="3">
        <f t="shared" ca="1" si="11"/>
        <v>7.2353725935083446</v>
      </c>
    </row>
    <row r="380" spans="4:5" ht="18.75" x14ac:dyDescent="0.3">
      <c r="D380" s="3">
        <f t="shared" ca="1" si="10"/>
        <v>98.232439740457266</v>
      </c>
      <c r="E380" s="3">
        <f t="shared" ca="1" si="11"/>
        <v>0</v>
      </c>
    </row>
    <row r="381" spans="4:5" ht="18.75" x14ac:dyDescent="0.3">
      <c r="D381" s="3">
        <f t="shared" ca="1" si="10"/>
        <v>103.38662828795087</v>
      </c>
      <c r="E381" s="3">
        <f t="shared" ca="1" si="11"/>
        <v>3.3866282879508702</v>
      </c>
    </row>
    <row r="382" spans="4:5" ht="18.75" x14ac:dyDescent="0.3">
      <c r="D382" s="3">
        <f t="shared" ca="1" si="10"/>
        <v>145.62601552870325</v>
      </c>
      <c r="E382" s="3">
        <f t="shared" ca="1" si="11"/>
        <v>45.626015528703249</v>
      </c>
    </row>
    <row r="383" spans="4:5" ht="18.75" x14ac:dyDescent="0.3">
      <c r="D383" s="3">
        <f t="shared" ca="1" si="10"/>
        <v>82.698093883955551</v>
      </c>
      <c r="E383" s="3">
        <f t="shared" ca="1" si="11"/>
        <v>0</v>
      </c>
    </row>
    <row r="384" spans="4:5" ht="18.75" x14ac:dyDescent="0.3">
      <c r="D384" s="3">
        <f t="shared" ca="1" si="10"/>
        <v>119.31292791497525</v>
      </c>
      <c r="E384" s="3">
        <f t="shared" ca="1" si="11"/>
        <v>19.312927914975248</v>
      </c>
    </row>
    <row r="385" spans="4:5" ht="18.75" x14ac:dyDescent="0.3">
      <c r="D385" s="3">
        <f t="shared" ca="1" si="10"/>
        <v>127.87042130513468</v>
      </c>
      <c r="E385" s="3">
        <f t="shared" ca="1" si="11"/>
        <v>27.870421305134684</v>
      </c>
    </row>
    <row r="386" spans="4:5" ht="18.75" x14ac:dyDescent="0.3">
      <c r="D386" s="3">
        <f t="shared" ca="1" si="10"/>
        <v>94.424278074157101</v>
      </c>
      <c r="E386" s="3">
        <f t="shared" ca="1" si="11"/>
        <v>0</v>
      </c>
    </row>
    <row r="387" spans="4:5" ht="18.75" x14ac:dyDescent="0.3">
      <c r="D387" s="3">
        <f t="shared" ref="D387:D450" ca="1" si="12">$B$4*EXP(($B$7-$B$8*$B$8*0.5)*$B$6+$B$8*SQRT($B$6)*_xlfn.NORM.S.INV(RAND()))</f>
        <v>136.80436373525558</v>
      </c>
      <c r="E387" s="3">
        <f t="shared" ref="E387:E450" ca="1" si="13">IF($B$3="call",MAX(D387-$B$5,0),MAX($B$5-D387,0))</f>
        <v>36.804363735255578</v>
      </c>
    </row>
    <row r="388" spans="4:5" ht="18.75" x14ac:dyDescent="0.3">
      <c r="D388" s="3">
        <f t="shared" ca="1" si="12"/>
        <v>163.28945266540995</v>
      </c>
      <c r="E388" s="3">
        <f t="shared" ca="1" si="13"/>
        <v>63.289452665409954</v>
      </c>
    </row>
    <row r="389" spans="4:5" ht="18.75" x14ac:dyDescent="0.3">
      <c r="D389" s="3">
        <f t="shared" ca="1" si="12"/>
        <v>122.30225050940125</v>
      </c>
      <c r="E389" s="3">
        <f t="shared" ca="1" si="13"/>
        <v>22.302250509401247</v>
      </c>
    </row>
    <row r="390" spans="4:5" ht="18.75" x14ac:dyDescent="0.3">
      <c r="D390" s="3">
        <f t="shared" ca="1" si="12"/>
        <v>127.85701020692075</v>
      </c>
      <c r="E390" s="3">
        <f t="shared" ca="1" si="13"/>
        <v>27.857010206920748</v>
      </c>
    </row>
    <row r="391" spans="4:5" ht="18.75" x14ac:dyDescent="0.3">
      <c r="D391" s="3">
        <f t="shared" ca="1" si="12"/>
        <v>92.552458920697561</v>
      </c>
      <c r="E391" s="3">
        <f t="shared" ca="1" si="13"/>
        <v>0</v>
      </c>
    </row>
    <row r="392" spans="4:5" ht="18.75" x14ac:dyDescent="0.3">
      <c r="D392" s="3">
        <f t="shared" ca="1" si="12"/>
        <v>163.87187089739223</v>
      </c>
      <c r="E392" s="3">
        <f t="shared" ca="1" si="13"/>
        <v>63.871870897392228</v>
      </c>
    </row>
    <row r="393" spans="4:5" ht="18.75" x14ac:dyDescent="0.3">
      <c r="D393" s="3">
        <f t="shared" ca="1" si="12"/>
        <v>139.00919738155423</v>
      </c>
      <c r="E393" s="3">
        <f t="shared" ca="1" si="13"/>
        <v>39.00919738155423</v>
      </c>
    </row>
    <row r="394" spans="4:5" ht="18.75" x14ac:dyDescent="0.3">
      <c r="D394" s="3">
        <f t="shared" ca="1" si="12"/>
        <v>124.75861469052734</v>
      </c>
      <c r="E394" s="3">
        <f t="shared" ca="1" si="13"/>
        <v>24.758614690527338</v>
      </c>
    </row>
    <row r="395" spans="4:5" ht="18.75" x14ac:dyDescent="0.3">
      <c r="D395" s="3">
        <f t="shared" ca="1" si="12"/>
        <v>107.45051324751552</v>
      </c>
      <c r="E395" s="3">
        <f t="shared" ca="1" si="13"/>
        <v>7.4505132475155165</v>
      </c>
    </row>
    <row r="396" spans="4:5" ht="18.75" x14ac:dyDescent="0.3">
      <c r="D396" s="3">
        <f t="shared" ca="1" si="12"/>
        <v>242.31904910423472</v>
      </c>
      <c r="E396" s="3">
        <f t="shared" ca="1" si="13"/>
        <v>142.31904910423472</v>
      </c>
    </row>
    <row r="397" spans="4:5" ht="18.75" x14ac:dyDescent="0.3">
      <c r="D397" s="3">
        <f t="shared" ca="1" si="12"/>
        <v>117.56319763951612</v>
      </c>
      <c r="E397" s="3">
        <f t="shared" ca="1" si="13"/>
        <v>17.563197639516119</v>
      </c>
    </row>
    <row r="398" spans="4:5" ht="18.75" x14ac:dyDescent="0.3">
      <c r="D398" s="3">
        <f t="shared" ca="1" si="12"/>
        <v>170.09371115429613</v>
      </c>
      <c r="E398" s="3">
        <f t="shared" ca="1" si="13"/>
        <v>70.09371115429613</v>
      </c>
    </row>
    <row r="399" spans="4:5" ht="18.75" x14ac:dyDescent="0.3">
      <c r="D399" s="3">
        <f t="shared" ca="1" si="12"/>
        <v>119.72701272109248</v>
      </c>
      <c r="E399" s="3">
        <f t="shared" ca="1" si="13"/>
        <v>19.727012721092478</v>
      </c>
    </row>
    <row r="400" spans="4:5" ht="18.75" x14ac:dyDescent="0.3">
      <c r="D400" s="3">
        <f t="shared" ca="1" si="12"/>
        <v>149.29808287024568</v>
      </c>
      <c r="E400" s="3">
        <f t="shared" ca="1" si="13"/>
        <v>49.298082870245679</v>
      </c>
    </row>
    <row r="401" spans="4:5" ht="18.75" x14ac:dyDescent="0.3">
      <c r="D401" s="3">
        <f t="shared" ca="1" si="12"/>
        <v>127.29437413176142</v>
      </c>
      <c r="E401" s="3">
        <f t="shared" ca="1" si="13"/>
        <v>27.294374131761415</v>
      </c>
    </row>
    <row r="402" spans="4:5" ht="18.75" x14ac:dyDescent="0.3">
      <c r="D402" s="3">
        <f t="shared" ca="1" si="12"/>
        <v>138.52986927392516</v>
      </c>
      <c r="E402" s="3">
        <f t="shared" ca="1" si="13"/>
        <v>38.529869273925158</v>
      </c>
    </row>
    <row r="403" spans="4:5" ht="18.75" x14ac:dyDescent="0.3">
      <c r="D403" s="3">
        <f t="shared" ca="1" si="12"/>
        <v>99.619779545848502</v>
      </c>
      <c r="E403" s="3">
        <f t="shared" ca="1" si="13"/>
        <v>0</v>
      </c>
    </row>
    <row r="404" spans="4:5" ht="18.75" x14ac:dyDescent="0.3">
      <c r="D404" s="3">
        <f t="shared" ca="1" si="12"/>
        <v>130.58438114152446</v>
      </c>
      <c r="E404" s="3">
        <f t="shared" ca="1" si="13"/>
        <v>30.58438114152446</v>
      </c>
    </row>
    <row r="405" spans="4:5" ht="18.75" x14ac:dyDescent="0.3">
      <c r="D405" s="3">
        <f t="shared" ca="1" si="12"/>
        <v>61.276983430457143</v>
      </c>
      <c r="E405" s="3">
        <f t="shared" ca="1" si="13"/>
        <v>0</v>
      </c>
    </row>
    <row r="406" spans="4:5" ht="18.75" x14ac:dyDescent="0.3">
      <c r="D406" s="3">
        <f t="shared" ca="1" si="12"/>
        <v>87.960296308965283</v>
      </c>
      <c r="E406" s="3">
        <f t="shared" ca="1" si="13"/>
        <v>0</v>
      </c>
    </row>
    <row r="407" spans="4:5" ht="18.75" x14ac:dyDescent="0.3">
      <c r="D407" s="3">
        <f t="shared" ca="1" si="12"/>
        <v>158.85136779218448</v>
      </c>
      <c r="E407" s="3">
        <f t="shared" ca="1" si="13"/>
        <v>58.851367792184476</v>
      </c>
    </row>
    <row r="408" spans="4:5" ht="18.75" x14ac:dyDescent="0.3">
      <c r="D408" s="3">
        <f t="shared" ca="1" si="12"/>
        <v>94.760950368797452</v>
      </c>
      <c r="E408" s="3">
        <f t="shared" ca="1" si="13"/>
        <v>0</v>
      </c>
    </row>
    <row r="409" spans="4:5" ht="18.75" x14ac:dyDescent="0.3">
      <c r="D409" s="3">
        <f t="shared" ca="1" si="12"/>
        <v>97.340609987177501</v>
      </c>
      <c r="E409" s="3">
        <f t="shared" ca="1" si="13"/>
        <v>0</v>
      </c>
    </row>
    <row r="410" spans="4:5" ht="18.75" x14ac:dyDescent="0.3">
      <c r="D410" s="3">
        <f t="shared" ca="1" si="12"/>
        <v>127.3546185495465</v>
      </c>
      <c r="E410" s="3">
        <f t="shared" ca="1" si="13"/>
        <v>27.354618549546501</v>
      </c>
    </row>
    <row r="411" spans="4:5" ht="18.75" x14ac:dyDescent="0.3">
      <c r="D411" s="3">
        <f t="shared" ca="1" si="12"/>
        <v>145.32080564687848</v>
      </c>
      <c r="E411" s="3">
        <f t="shared" ca="1" si="13"/>
        <v>45.320805646878483</v>
      </c>
    </row>
    <row r="412" spans="4:5" ht="18.75" x14ac:dyDescent="0.3">
      <c r="D412" s="3">
        <f t="shared" ca="1" si="12"/>
        <v>173.9254270310021</v>
      </c>
      <c r="E412" s="3">
        <f t="shared" ca="1" si="13"/>
        <v>73.925427031002101</v>
      </c>
    </row>
    <row r="413" spans="4:5" ht="18.75" x14ac:dyDescent="0.3">
      <c r="D413" s="3">
        <f t="shared" ca="1" si="12"/>
        <v>135.65004251177072</v>
      </c>
      <c r="E413" s="3">
        <f t="shared" ca="1" si="13"/>
        <v>35.650042511770721</v>
      </c>
    </row>
    <row r="414" spans="4:5" ht="18.75" x14ac:dyDescent="0.3">
      <c r="D414" s="3">
        <f t="shared" ca="1" si="12"/>
        <v>181.20768162791435</v>
      </c>
      <c r="E414" s="3">
        <f t="shared" ca="1" si="13"/>
        <v>81.207681627914354</v>
      </c>
    </row>
    <row r="415" spans="4:5" ht="18.75" x14ac:dyDescent="0.3">
      <c r="D415" s="3">
        <f t="shared" ca="1" si="12"/>
        <v>78.752964409293682</v>
      </c>
      <c r="E415" s="3">
        <f t="shared" ca="1" si="13"/>
        <v>0</v>
      </c>
    </row>
    <row r="416" spans="4:5" ht="18.75" x14ac:dyDescent="0.3">
      <c r="D416" s="3">
        <f t="shared" ca="1" si="12"/>
        <v>98.082794511218992</v>
      </c>
      <c r="E416" s="3">
        <f t="shared" ca="1" si="13"/>
        <v>0</v>
      </c>
    </row>
    <row r="417" spans="4:5" ht="18.75" x14ac:dyDescent="0.3">
      <c r="D417" s="3">
        <f t="shared" ca="1" si="12"/>
        <v>97.308808868023036</v>
      </c>
      <c r="E417" s="3">
        <f t="shared" ca="1" si="13"/>
        <v>0</v>
      </c>
    </row>
    <row r="418" spans="4:5" ht="18.75" x14ac:dyDescent="0.3">
      <c r="D418" s="3">
        <f t="shared" ca="1" si="12"/>
        <v>111.21365066021471</v>
      </c>
      <c r="E418" s="3">
        <f t="shared" ca="1" si="13"/>
        <v>11.213650660214711</v>
      </c>
    </row>
    <row r="419" spans="4:5" ht="18.75" x14ac:dyDescent="0.3">
      <c r="D419" s="3">
        <f t="shared" ca="1" si="12"/>
        <v>121.69596095304387</v>
      </c>
      <c r="E419" s="3">
        <f t="shared" ca="1" si="13"/>
        <v>21.695960953043866</v>
      </c>
    </row>
    <row r="420" spans="4:5" ht="18.75" x14ac:dyDescent="0.3">
      <c r="D420" s="3">
        <f t="shared" ca="1" si="12"/>
        <v>85.489413535052265</v>
      </c>
      <c r="E420" s="3">
        <f t="shared" ca="1" si="13"/>
        <v>0</v>
      </c>
    </row>
    <row r="421" spans="4:5" ht="18.75" x14ac:dyDescent="0.3">
      <c r="D421" s="3">
        <f t="shared" ca="1" si="12"/>
        <v>118.85272379488441</v>
      </c>
      <c r="E421" s="3">
        <f t="shared" ca="1" si="13"/>
        <v>18.852723794884412</v>
      </c>
    </row>
    <row r="422" spans="4:5" ht="18.75" x14ac:dyDescent="0.3">
      <c r="D422" s="3">
        <f t="shared" ca="1" si="12"/>
        <v>103.09001381412486</v>
      </c>
      <c r="E422" s="3">
        <f t="shared" ca="1" si="13"/>
        <v>3.090013814124859</v>
      </c>
    </row>
    <row r="423" spans="4:5" ht="18.75" x14ac:dyDescent="0.3">
      <c r="D423" s="3">
        <f t="shared" ca="1" si="12"/>
        <v>105.10184147445962</v>
      </c>
      <c r="E423" s="3">
        <f t="shared" ca="1" si="13"/>
        <v>5.1018414744596186</v>
      </c>
    </row>
    <row r="424" spans="4:5" ht="18.75" x14ac:dyDescent="0.3">
      <c r="D424" s="3">
        <f t="shared" ca="1" si="12"/>
        <v>118.09258087138824</v>
      </c>
      <c r="E424" s="3">
        <f t="shared" ca="1" si="13"/>
        <v>18.092580871388236</v>
      </c>
    </row>
    <row r="425" spans="4:5" ht="18.75" x14ac:dyDescent="0.3">
      <c r="D425" s="3">
        <f t="shared" ca="1" si="12"/>
        <v>97.366406053003914</v>
      </c>
      <c r="E425" s="3">
        <f t="shared" ca="1" si="13"/>
        <v>0</v>
      </c>
    </row>
    <row r="426" spans="4:5" ht="18.75" x14ac:dyDescent="0.3">
      <c r="D426" s="3">
        <f t="shared" ca="1" si="12"/>
        <v>83.37178565001085</v>
      </c>
      <c r="E426" s="3">
        <f t="shared" ca="1" si="13"/>
        <v>0</v>
      </c>
    </row>
    <row r="427" spans="4:5" ht="18.75" x14ac:dyDescent="0.3">
      <c r="D427" s="3">
        <f t="shared" ca="1" si="12"/>
        <v>113.91639264401132</v>
      </c>
      <c r="E427" s="3">
        <f t="shared" ca="1" si="13"/>
        <v>13.916392644011324</v>
      </c>
    </row>
    <row r="428" spans="4:5" ht="18.75" x14ac:dyDescent="0.3">
      <c r="D428" s="3">
        <f t="shared" ca="1" si="12"/>
        <v>107.75231314066301</v>
      </c>
      <c r="E428" s="3">
        <f t="shared" ca="1" si="13"/>
        <v>7.7523131406630057</v>
      </c>
    </row>
    <row r="429" spans="4:5" ht="18.75" x14ac:dyDescent="0.3">
      <c r="D429" s="3">
        <f t="shared" ca="1" si="12"/>
        <v>106.25803821360329</v>
      </c>
      <c r="E429" s="3">
        <f t="shared" ca="1" si="13"/>
        <v>6.2580382136032853</v>
      </c>
    </row>
    <row r="430" spans="4:5" ht="18.75" x14ac:dyDescent="0.3">
      <c r="D430" s="3">
        <f t="shared" ca="1" si="12"/>
        <v>136.36245606809058</v>
      </c>
      <c r="E430" s="3">
        <f t="shared" ca="1" si="13"/>
        <v>36.36245606809058</v>
      </c>
    </row>
    <row r="431" spans="4:5" ht="18.75" x14ac:dyDescent="0.3">
      <c r="D431" s="3">
        <f t="shared" ca="1" si="12"/>
        <v>72.148987755419583</v>
      </c>
      <c r="E431" s="3">
        <f t="shared" ca="1" si="13"/>
        <v>0</v>
      </c>
    </row>
    <row r="432" spans="4:5" ht="18.75" x14ac:dyDescent="0.3">
      <c r="D432" s="3">
        <f t="shared" ca="1" si="12"/>
        <v>155.49879134526773</v>
      </c>
      <c r="E432" s="3">
        <f t="shared" ca="1" si="13"/>
        <v>55.498791345267733</v>
      </c>
    </row>
    <row r="433" spans="4:5" ht="18.75" x14ac:dyDescent="0.3">
      <c r="D433" s="3">
        <f t="shared" ca="1" si="12"/>
        <v>87.750047191903846</v>
      </c>
      <c r="E433" s="3">
        <f t="shared" ca="1" si="13"/>
        <v>0</v>
      </c>
    </row>
    <row r="434" spans="4:5" ht="18.75" x14ac:dyDescent="0.3">
      <c r="D434" s="3">
        <f t="shared" ca="1" si="12"/>
        <v>128.34083346658252</v>
      </c>
      <c r="E434" s="3">
        <f t="shared" ca="1" si="13"/>
        <v>28.340833466582524</v>
      </c>
    </row>
    <row r="435" spans="4:5" ht="18.75" x14ac:dyDescent="0.3">
      <c r="D435" s="3">
        <f t="shared" ca="1" si="12"/>
        <v>91.94225751003944</v>
      </c>
      <c r="E435" s="3">
        <f t="shared" ca="1" si="13"/>
        <v>0</v>
      </c>
    </row>
    <row r="436" spans="4:5" ht="18.75" x14ac:dyDescent="0.3">
      <c r="D436" s="3">
        <f t="shared" ca="1" si="12"/>
        <v>150.26584659523959</v>
      </c>
      <c r="E436" s="3">
        <f t="shared" ca="1" si="13"/>
        <v>50.265846595239594</v>
      </c>
    </row>
    <row r="437" spans="4:5" ht="18.75" x14ac:dyDescent="0.3">
      <c r="D437" s="3">
        <f t="shared" ca="1" si="12"/>
        <v>80.491617880056978</v>
      </c>
      <c r="E437" s="3">
        <f t="shared" ca="1" si="13"/>
        <v>0</v>
      </c>
    </row>
    <row r="438" spans="4:5" ht="18.75" x14ac:dyDescent="0.3">
      <c r="D438" s="3">
        <f t="shared" ca="1" si="12"/>
        <v>129.08488503206621</v>
      </c>
      <c r="E438" s="3">
        <f t="shared" ca="1" si="13"/>
        <v>29.084885032066211</v>
      </c>
    </row>
    <row r="439" spans="4:5" ht="18.75" x14ac:dyDescent="0.3">
      <c r="D439" s="3">
        <f t="shared" ca="1" si="12"/>
        <v>103.2246548941141</v>
      </c>
      <c r="E439" s="3">
        <f t="shared" ca="1" si="13"/>
        <v>3.2246548941140958</v>
      </c>
    </row>
    <row r="440" spans="4:5" ht="18.75" x14ac:dyDescent="0.3">
      <c r="D440" s="3">
        <f t="shared" ca="1" si="12"/>
        <v>109.45870927552058</v>
      </c>
      <c r="E440" s="3">
        <f t="shared" ca="1" si="13"/>
        <v>9.4587092755205759</v>
      </c>
    </row>
    <row r="441" spans="4:5" ht="18.75" x14ac:dyDescent="0.3">
      <c r="D441" s="3">
        <f t="shared" ca="1" si="12"/>
        <v>159.6116864007023</v>
      </c>
      <c r="E441" s="3">
        <f t="shared" ca="1" si="13"/>
        <v>59.611686400702297</v>
      </c>
    </row>
    <row r="442" spans="4:5" ht="18.75" x14ac:dyDescent="0.3">
      <c r="D442" s="3">
        <f t="shared" ca="1" si="12"/>
        <v>190.99065322710641</v>
      </c>
      <c r="E442" s="3">
        <f t="shared" ca="1" si="13"/>
        <v>90.990653227106407</v>
      </c>
    </row>
    <row r="443" spans="4:5" ht="18.75" x14ac:dyDescent="0.3">
      <c r="D443" s="3">
        <f t="shared" ca="1" si="12"/>
        <v>71.501801176768694</v>
      </c>
      <c r="E443" s="3">
        <f t="shared" ca="1" si="13"/>
        <v>0</v>
      </c>
    </row>
    <row r="444" spans="4:5" ht="18.75" x14ac:dyDescent="0.3">
      <c r="D444" s="3">
        <f t="shared" ca="1" si="12"/>
        <v>89.80303352399126</v>
      </c>
      <c r="E444" s="3">
        <f t="shared" ca="1" si="13"/>
        <v>0</v>
      </c>
    </row>
    <row r="445" spans="4:5" ht="18.75" x14ac:dyDescent="0.3">
      <c r="D445" s="3">
        <f t="shared" ca="1" si="12"/>
        <v>146.64419361464502</v>
      </c>
      <c r="E445" s="3">
        <f t="shared" ca="1" si="13"/>
        <v>46.644193614645019</v>
      </c>
    </row>
    <row r="446" spans="4:5" ht="18.75" x14ac:dyDescent="0.3">
      <c r="D446" s="3">
        <f t="shared" ca="1" si="12"/>
        <v>104.41091170134315</v>
      </c>
      <c r="E446" s="3">
        <f t="shared" ca="1" si="13"/>
        <v>4.4109117013431529</v>
      </c>
    </row>
    <row r="447" spans="4:5" ht="18.75" x14ac:dyDescent="0.3">
      <c r="D447" s="3">
        <f t="shared" ca="1" si="12"/>
        <v>117.19429226192113</v>
      </c>
      <c r="E447" s="3">
        <f t="shared" ca="1" si="13"/>
        <v>17.194292261921134</v>
      </c>
    </row>
    <row r="448" spans="4:5" ht="18.75" x14ac:dyDescent="0.3">
      <c r="D448" s="3">
        <f t="shared" ca="1" si="12"/>
        <v>195.86401939725596</v>
      </c>
      <c r="E448" s="3">
        <f t="shared" ca="1" si="13"/>
        <v>95.864019397255959</v>
      </c>
    </row>
    <row r="449" spans="4:5" ht="18.75" x14ac:dyDescent="0.3">
      <c r="D449" s="3">
        <f t="shared" ca="1" si="12"/>
        <v>84.369522954748021</v>
      </c>
      <c r="E449" s="3">
        <f t="shared" ca="1" si="13"/>
        <v>0</v>
      </c>
    </row>
    <row r="450" spans="4:5" ht="18.75" x14ac:dyDescent="0.3">
      <c r="D450" s="3">
        <f t="shared" ca="1" si="12"/>
        <v>85.404762251342419</v>
      </c>
      <c r="E450" s="3">
        <f t="shared" ca="1" si="13"/>
        <v>0</v>
      </c>
    </row>
    <row r="451" spans="4:5" ht="18.75" x14ac:dyDescent="0.3">
      <c r="D451" s="3">
        <f t="shared" ref="D451:D514" ca="1" si="14">$B$4*EXP(($B$7-$B$8*$B$8*0.5)*$B$6+$B$8*SQRT($B$6)*_xlfn.NORM.S.INV(RAND()))</f>
        <v>118.40998126400233</v>
      </c>
      <c r="E451" s="3">
        <f t="shared" ref="E451:E514" ca="1" si="15">IF($B$3="call",MAX(D451-$B$5,0),MAX($B$5-D451,0))</f>
        <v>18.409981264002326</v>
      </c>
    </row>
    <row r="452" spans="4:5" ht="18.75" x14ac:dyDescent="0.3">
      <c r="D452" s="3">
        <f t="shared" ca="1" si="14"/>
        <v>136.96834116083085</v>
      </c>
      <c r="E452" s="3">
        <f t="shared" ca="1" si="15"/>
        <v>36.968341160830846</v>
      </c>
    </row>
    <row r="453" spans="4:5" ht="18.75" x14ac:dyDescent="0.3">
      <c r="D453" s="3">
        <f t="shared" ca="1" si="14"/>
        <v>144.52324125111971</v>
      </c>
      <c r="E453" s="3">
        <f t="shared" ca="1" si="15"/>
        <v>44.523241251119714</v>
      </c>
    </row>
    <row r="454" spans="4:5" ht="18.75" x14ac:dyDescent="0.3">
      <c r="D454" s="3">
        <f t="shared" ca="1" si="14"/>
        <v>79.989852039079778</v>
      </c>
      <c r="E454" s="3">
        <f t="shared" ca="1" si="15"/>
        <v>0</v>
      </c>
    </row>
    <row r="455" spans="4:5" ht="18.75" x14ac:dyDescent="0.3">
      <c r="D455" s="3">
        <f t="shared" ca="1" si="14"/>
        <v>182.80688386257492</v>
      </c>
      <c r="E455" s="3">
        <f t="shared" ca="1" si="15"/>
        <v>82.806883862574921</v>
      </c>
    </row>
    <row r="456" spans="4:5" ht="18.75" x14ac:dyDescent="0.3">
      <c r="D456" s="3">
        <f t="shared" ca="1" si="14"/>
        <v>87.104407783848146</v>
      </c>
      <c r="E456" s="3">
        <f t="shared" ca="1" si="15"/>
        <v>0</v>
      </c>
    </row>
    <row r="457" spans="4:5" ht="18.75" x14ac:dyDescent="0.3">
      <c r="D457" s="3">
        <f t="shared" ca="1" si="14"/>
        <v>124.60102516948331</v>
      </c>
      <c r="E457" s="3">
        <f t="shared" ca="1" si="15"/>
        <v>24.601025169483307</v>
      </c>
    </row>
    <row r="458" spans="4:5" ht="18.75" x14ac:dyDescent="0.3">
      <c r="D458" s="3">
        <f t="shared" ca="1" si="14"/>
        <v>200.29979969597809</v>
      </c>
      <c r="E458" s="3">
        <f t="shared" ca="1" si="15"/>
        <v>100.29979969597809</v>
      </c>
    </row>
    <row r="459" spans="4:5" ht="18.75" x14ac:dyDescent="0.3">
      <c r="D459" s="3">
        <f t="shared" ca="1" si="14"/>
        <v>63.242454188405326</v>
      </c>
      <c r="E459" s="3">
        <f t="shared" ca="1" si="15"/>
        <v>0</v>
      </c>
    </row>
    <row r="460" spans="4:5" ht="18.75" x14ac:dyDescent="0.3">
      <c r="D460" s="3">
        <f t="shared" ca="1" si="14"/>
        <v>168.44073628468408</v>
      </c>
      <c r="E460" s="3">
        <f t="shared" ca="1" si="15"/>
        <v>68.440736284684078</v>
      </c>
    </row>
    <row r="461" spans="4:5" ht="18.75" x14ac:dyDescent="0.3">
      <c r="D461" s="3">
        <f t="shared" ca="1" si="14"/>
        <v>94.641965754813327</v>
      </c>
      <c r="E461" s="3">
        <f t="shared" ca="1" si="15"/>
        <v>0</v>
      </c>
    </row>
    <row r="462" spans="4:5" ht="18.75" x14ac:dyDescent="0.3">
      <c r="D462" s="3">
        <f t="shared" ca="1" si="14"/>
        <v>149.57236694564088</v>
      </c>
      <c r="E462" s="3">
        <f t="shared" ca="1" si="15"/>
        <v>49.57236694564088</v>
      </c>
    </row>
    <row r="463" spans="4:5" ht="18.75" x14ac:dyDescent="0.3">
      <c r="D463" s="3">
        <f t="shared" ca="1" si="14"/>
        <v>91.742249533292153</v>
      </c>
      <c r="E463" s="3">
        <f t="shared" ca="1" si="15"/>
        <v>0</v>
      </c>
    </row>
    <row r="464" spans="4:5" ht="18.75" x14ac:dyDescent="0.3">
      <c r="D464" s="3">
        <f t="shared" ca="1" si="14"/>
        <v>120.29990239353923</v>
      </c>
      <c r="E464" s="3">
        <f t="shared" ca="1" si="15"/>
        <v>20.299902393539227</v>
      </c>
    </row>
    <row r="465" spans="4:5" ht="18.75" x14ac:dyDescent="0.3">
      <c r="D465" s="3">
        <f t="shared" ca="1" si="14"/>
        <v>127.52405274775978</v>
      </c>
      <c r="E465" s="3">
        <f t="shared" ca="1" si="15"/>
        <v>27.524052747759782</v>
      </c>
    </row>
    <row r="466" spans="4:5" ht="18.75" x14ac:dyDescent="0.3">
      <c r="D466" s="3">
        <f t="shared" ca="1" si="14"/>
        <v>152.77428503297401</v>
      </c>
      <c r="E466" s="3">
        <f t="shared" ca="1" si="15"/>
        <v>52.774285032974007</v>
      </c>
    </row>
    <row r="467" spans="4:5" ht="18.75" x14ac:dyDescent="0.3">
      <c r="D467" s="3">
        <f t="shared" ca="1" si="14"/>
        <v>144.27537572303893</v>
      </c>
      <c r="E467" s="3">
        <f t="shared" ca="1" si="15"/>
        <v>44.275375723038934</v>
      </c>
    </row>
    <row r="468" spans="4:5" ht="18.75" x14ac:dyDescent="0.3">
      <c r="D468" s="3">
        <f t="shared" ca="1" si="14"/>
        <v>109.36643323158523</v>
      </c>
      <c r="E468" s="3">
        <f t="shared" ca="1" si="15"/>
        <v>9.3664332315852334</v>
      </c>
    </row>
    <row r="469" spans="4:5" ht="18.75" x14ac:dyDescent="0.3">
      <c r="D469" s="3">
        <f t="shared" ca="1" si="14"/>
        <v>136.75240685742284</v>
      </c>
      <c r="E469" s="3">
        <f t="shared" ca="1" si="15"/>
        <v>36.752406857422841</v>
      </c>
    </row>
    <row r="470" spans="4:5" ht="18.75" x14ac:dyDescent="0.3">
      <c r="D470" s="3">
        <f t="shared" ca="1" si="14"/>
        <v>94.29058339849999</v>
      </c>
      <c r="E470" s="3">
        <f t="shared" ca="1" si="15"/>
        <v>0</v>
      </c>
    </row>
    <row r="471" spans="4:5" ht="18.75" x14ac:dyDescent="0.3">
      <c r="D471" s="3">
        <f t="shared" ca="1" si="14"/>
        <v>117.46880667231241</v>
      </c>
      <c r="E471" s="3">
        <f t="shared" ca="1" si="15"/>
        <v>17.468806672312411</v>
      </c>
    </row>
    <row r="472" spans="4:5" ht="18.75" x14ac:dyDescent="0.3">
      <c r="D472" s="3">
        <f t="shared" ca="1" si="14"/>
        <v>155.51839948928719</v>
      </c>
      <c r="E472" s="3">
        <f t="shared" ca="1" si="15"/>
        <v>55.518399489287191</v>
      </c>
    </row>
    <row r="473" spans="4:5" ht="18.75" x14ac:dyDescent="0.3">
      <c r="D473" s="3">
        <f t="shared" ca="1" si="14"/>
        <v>118.09981987856528</v>
      </c>
      <c r="E473" s="3">
        <f t="shared" ca="1" si="15"/>
        <v>18.099819878565285</v>
      </c>
    </row>
    <row r="474" spans="4:5" ht="18.75" x14ac:dyDescent="0.3">
      <c r="D474" s="3">
        <f t="shared" ca="1" si="14"/>
        <v>137.62773442969262</v>
      </c>
      <c r="E474" s="3">
        <f t="shared" ca="1" si="15"/>
        <v>37.627734429692623</v>
      </c>
    </row>
    <row r="475" spans="4:5" ht="18.75" x14ac:dyDescent="0.3">
      <c r="D475" s="3">
        <f t="shared" ca="1" si="14"/>
        <v>146.50404357221745</v>
      </c>
      <c r="E475" s="3">
        <f t="shared" ca="1" si="15"/>
        <v>46.504043572217455</v>
      </c>
    </row>
    <row r="476" spans="4:5" ht="18.75" x14ac:dyDescent="0.3">
      <c r="D476" s="3">
        <f t="shared" ca="1" si="14"/>
        <v>123.90902437577058</v>
      </c>
      <c r="E476" s="3">
        <f t="shared" ca="1" si="15"/>
        <v>23.909024375770585</v>
      </c>
    </row>
    <row r="477" spans="4:5" ht="18.75" x14ac:dyDescent="0.3">
      <c r="D477" s="3">
        <f t="shared" ca="1" si="14"/>
        <v>135.96994822281093</v>
      </c>
      <c r="E477" s="3">
        <f t="shared" ca="1" si="15"/>
        <v>35.969948222810928</v>
      </c>
    </row>
    <row r="478" spans="4:5" ht="18.75" x14ac:dyDescent="0.3">
      <c r="D478" s="3">
        <f t="shared" ca="1" si="14"/>
        <v>116.30537515624451</v>
      </c>
      <c r="E478" s="3">
        <f t="shared" ca="1" si="15"/>
        <v>16.305375156244509</v>
      </c>
    </row>
    <row r="479" spans="4:5" ht="18.75" x14ac:dyDescent="0.3">
      <c r="D479" s="3">
        <f t="shared" ca="1" si="14"/>
        <v>75.284377627771988</v>
      </c>
      <c r="E479" s="3">
        <f t="shared" ca="1" si="15"/>
        <v>0</v>
      </c>
    </row>
    <row r="480" spans="4:5" ht="18.75" x14ac:dyDescent="0.3">
      <c r="D480" s="3">
        <f t="shared" ca="1" si="14"/>
        <v>89.794383535673262</v>
      </c>
      <c r="E480" s="3">
        <f t="shared" ca="1" si="15"/>
        <v>0</v>
      </c>
    </row>
    <row r="481" spans="4:5" ht="18.75" x14ac:dyDescent="0.3">
      <c r="D481" s="3">
        <f t="shared" ca="1" si="14"/>
        <v>125.33793958278345</v>
      </c>
      <c r="E481" s="3">
        <f t="shared" ca="1" si="15"/>
        <v>25.337939582783449</v>
      </c>
    </row>
    <row r="482" spans="4:5" ht="18.75" x14ac:dyDescent="0.3">
      <c r="D482" s="3">
        <f t="shared" ca="1" si="14"/>
        <v>146.09559473606853</v>
      </c>
      <c r="E482" s="3">
        <f t="shared" ca="1" si="15"/>
        <v>46.095594736068534</v>
      </c>
    </row>
    <row r="483" spans="4:5" ht="18.75" x14ac:dyDescent="0.3">
      <c r="D483" s="3">
        <f t="shared" ca="1" si="14"/>
        <v>103.39713684510579</v>
      </c>
      <c r="E483" s="3">
        <f t="shared" ca="1" si="15"/>
        <v>3.3971368451057913</v>
      </c>
    </row>
    <row r="484" spans="4:5" ht="18.75" x14ac:dyDescent="0.3">
      <c r="D484" s="3">
        <f t="shared" ca="1" si="14"/>
        <v>136.82184744422031</v>
      </c>
      <c r="E484" s="3">
        <f t="shared" ca="1" si="15"/>
        <v>36.82184744422031</v>
      </c>
    </row>
    <row r="485" spans="4:5" ht="18.75" x14ac:dyDescent="0.3">
      <c r="D485" s="3">
        <f t="shared" ca="1" si="14"/>
        <v>101.82171704020955</v>
      </c>
      <c r="E485" s="3">
        <f t="shared" ca="1" si="15"/>
        <v>1.8217170402095491</v>
      </c>
    </row>
    <row r="486" spans="4:5" ht="18.75" x14ac:dyDescent="0.3">
      <c r="D486" s="3">
        <f t="shared" ca="1" si="14"/>
        <v>106.21027028313389</v>
      </c>
      <c r="E486" s="3">
        <f t="shared" ca="1" si="15"/>
        <v>6.2102702831338945</v>
      </c>
    </row>
    <row r="487" spans="4:5" ht="18.75" x14ac:dyDescent="0.3">
      <c r="D487" s="3">
        <f t="shared" ca="1" si="14"/>
        <v>155.47071880531743</v>
      </c>
      <c r="E487" s="3">
        <f t="shared" ca="1" si="15"/>
        <v>55.470718805317432</v>
      </c>
    </row>
    <row r="488" spans="4:5" ht="18.75" x14ac:dyDescent="0.3">
      <c r="D488" s="3">
        <f t="shared" ca="1" si="14"/>
        <v>131.51279539776394</v>
      </c>
      <c r="E488" s="3">
        <f t="shared" ca="1" si="15"/>
        <v>31.512795397763938</v>
      </c>
    </row>
    <row r="489" spans="4:5" ht="18.75" x14ac:dyDescent="0.3">
      <c r="D489" s="3">
        <f t="shared" ca="1" si="14"/>
        <v>163.22876840167359</v>
      </c>
      <c r="E489" s="3">
        <f t="shared" ca="1" si="15"/>
        <v>63.228768401673591</v>
      </c>
    </row>
    <row r="490" spans="4:5" ht="18.75" x14ac:dyDescent="0.3">
      <c r="D490" s="3">
        <f t="shared" ca="1" si="14"/>
        <v>105.92718288545291</v>
      </c>
      <c r="E490" s="3">
        <f t="shared" ca="1" si="15"/>
        <v>5.9271828854529076</v>
      </c>
    </row>
    <row r="491" spans="4:5" ht="18.75" x14ac:dyDescent="0.3">
      <c r="D491" s="3">
        <f t="shared" ca="1" si="14"/>
        <v>112.56947426402245</v>
      </c>
      <c r="E491" s="3">
        <f t="shared" ca="1" si="15"/>
        <v>12.569474264022446</v>
      </c>
    </row>
    <row r="492" spans="4:5" ht="18.75" x14ac:dyDescent="0.3">
      <c r="D492" s="3">
        <f t="shared" ca="1" si="14"/>
        <v>81.476329833854891</v>
      </c>
      <c r="E492" s="3">
        <f t="shared" ca="1" si="15"/>
        <v>0</v>
      </c>
    </row>
    <row r="493" spans="4:5" ht="18.75" x14ac:dyDescent="0.3">
      <c r="D493" s="3">
        <f t="shared" ca="1" si="14"/>
        <v>117.32752718689132</v>
      </c>
      <c r="E493" s="3">
        <f t="shared" ca="1" si="15"/>
        <v>17.327527186891317</v>
      </c>
    </row>
    <row r="494" spans="4:5" ht="18.75" x14ac:dyDescent="0.3">
      <c r="D494" s="3">
        <f t="shared" ca="1" si="14"/>
        <v>93.708339861467721</v>
      </c>
      <c r="E494" s="3">
        <f t="shared" ca="1" si="15"/>
        <v>0</v>
      </c>
    </row>
    <row r="495" spans="4:5" ht="18.75" x14ac:dyDescent="0.3">
      <c r="D495" s="3">
        <f t="shared" ca="1" si="14"/>
        <v>155.81306057360914</v>
      </c>
      <c r="E495" s="3">
        <f t="shared" ca="1" si="15"/>
        <v>55.813060573609135</v>
      </c>
    </row>
    <row r="496" spans="4:5" ht="18.75" x14ac:dyDescent="0.3">
      <c r="D496" s="3">
        <f t="shared" ca="1" si="14"/>
        <v>121.59661722123627</v>
      </c>
      <c r="E496" s="3">
        <f t="shared" ca="1" si="15"/>
        <v>21.596617221236272</v>
      </c>
    </row>
    <row r="497" spans="4:5" ht="18.75" x14ac:dyDescent="0.3">
      <c r="D497" s="3">
        <f t="shared" ca="1" si="14"/>
        <v>122.37165627391184</v>
      </c>
      <c r="E497" s="3">
        <f t="shared" ca="1" si="15"/>
        <v>22.371656273911839</v>
      </c>
    </row>
    <row r="498" spans="4:5" ht="18.75" x14ac:dyDescent="0.3">
      <c r="D498" s="3">
        <f t="shared" ca="1" si="14"/>
        <v>125.35429199768812</v>
      </c>
      <c r="E498" s="3">
        <f t="shared" ca="1" si="15"/>
        <v>25.354291997688122</v>
      </c>
    </row>
    <row r="499" spans="4:5" ht="18.75" x14ac:dyDescent="0.3">
      <c r="D499" s="3">
        <f t="shared" ca="1" si="14"/>
        <v>110.92091453580844</v>
      </c>
      <c r="E499" s="3">
        <f t="shared" ca="1" si="15"/>
        <v>10.920914535808436</v>
      </c>
    </row>
    <row r="500" spans="4:5" ht="18.75" x14ac:dyDescent="0.3">
      <c r="D500" s="3">
        <f t="shared" ca="1" si="14"/>
        <v>131.17519027007123</v>
      </c>
      <c r="E500" s="3">
        <f t="shared" ca="1" si="15"/>
        <v>31.175190270071226</v>
      </c>
    </row>
    <row r="501" spans="4:5" ht="18.75" x14ac:dyDescent="0.3">
      <c r="D501" s="3">
        <f t="shared" ca="1" si="14"/>
        <v>116.70153126191663</v>
      </c>
      <c r="E501" s="3">
        <f t="shared" ca="1" si="15"/>
        <v>16.701531261916628</v>
      </c>
    </row>
    <row r="502" spans="4:5" ht="18.75" x14ac:dyDescent="0.3">
      <c r="D502" s="3">
        <f t="shared" ca="1" si="14"/>
        <v>103.33632356065993</v>
      </c>
      <c r="E502" s="3">
        <f t="shared" ca="1" si="15"/>
        <v>3.3363235606599346</v>
      </c>
    </row>
    <row r="503" spans="4:5" ht="18.75" x14ac:dyDescent="0.3">
      <c r="D503" s="3">
        <f t="shared" ca="1" si="14"/>
        <v>139.84505888771142</v>
      </c>
      <c r="E503" s="3">
        <f t="shared" ca="1" si="15"/>
        <v>39.845058887711417</v>
      </c>
    </row>
    <row r="504" spans="4:5" ht="18.75" x14ac:dyDescent="0.3">
      <c r="D504" s="3">
        <f t="shared" ca="1" si="14"/>
        <v>117.72217312750075</v>
      </c>
      <c r="E504" s="3">
        <f t="shared" ca="1" si="15"/>
        <v>17.722173127500753</v>
      </c>
    </row>
    <row r="505" spans="4:5" ht="18.75" x14ac:dyDescent="0.3">
      <c r="D505" s="3">
        <f t="shared" ca="1" si="14"/>
        <v>144.43929452633597</v>
      </c>
      <c r="E505" s="3">
        <f t="shared" ca="1" si="15"/>
        <v>44.439294526335971</v>
      </c>
    </row>
    <row r="506" spans="4:5" ht="18.75" x14ac:dyDescent="0.3">
      <c r="D506" s="3">
        <f t="shared" ca="1" si="14"/>
        <v>86.907946238526492</v>
      </c>
      <c r="E506" s="3">
        <f t="shared" ca="1" si="15"/>
        <v>0</v>
      </c>
    </row>
    <row r="507" spans="4:5" ht="18.75" x14ac:dyDescent="0.3">
      <c r="D507" s="3">
        <f t="shared" ca="1" si="14"/>
        <v>122.23586665040355</v>
      </c>
      <c r="E507" s="3">
        <f t="shared" ca="1" si="15"/>
        <v>22.235866650403551</v>
      </c>
    </row>
    <row r="508" spans="4:5" ht="18.75" x14ac:dyDescent="0.3">
      <c r="D508" s="3">
        <f t="shared" ca="1" si="14"/>
        <v>133.29481777379627</v>
      </c>
      <c r="E508" s="3">
        <f t="shared" ca="1" si="15"/>
        <v>33.294817773796268</v>
      </c>
    </row>
    <row r="509" spans="4:5" ht="18.75" x14ac:dyDescent="0.3">
      <c r="D509" s="3">
        <f t="shared" ca="1" si="14"/>
        <v>101.08295058397057</v>
      </c>
      <c r="E509" s="3">
        <f t="shared" ca="1" si="15"/>
        <v>1.0829505839705718</v>
      </c>
    </row>
    <row r="510" spans="4:5" ht="18.75" x14ac:dyDescent="0.3">
      <c r="D510" s="3">
        <f t="shared" ca="1" si="14"/>
        <v>251.64792489743598</v>
      </c>
      <c r="E510" s="3">
        <f t="shared" ca="1" si="15"/>
        <v>151.64792489743598</v>
      </c>
    </row>
    <row r="511" spans="4:5" ht="18.75" x14ac:dyDescent="0.3">
      <c r="D511" s="3">
        <f t="shared" ca="1" si="14"/>
        <v>134.5402586160701</v>
      </c>
      <c r="E511" s="3">
        <f t="shared" ca="1" si="15"/>
        <v>34.540258616070105</v>
      </c>
    </row>
    <row r="512" spans="4:5" ht="18.75" x14ac:dyDescent="0.3">
      <c r="D512" s="3">
        <f t="shared" ca="1" si="14"/>
        <v>121.71690049867627</v>
      </c>
      <c r="E512" s="3">
        <f t="shared" ca="1" si="15"/>
        <v>21.716900498676267</v>
      </c>
    </row>
    <row r="513" spans="4:5" ht="18.75" x14ac:dyDescent="0.3">
      <c r="D513" s="3">
        <f t="shared" ca="1" si="14"/>
        <v>148.33978335613361</v>
      </c>
      <c r="E513" s="3">
        <f t="shared" ca="1" si="15"/>
        <v>48.339783356133609</v>
      </c>
    </row>
    <row r="514" spans="4:5" ht="18.75" x14ac:dyDescent="0.3">
      <c r="D514" s="3">
        <f t="shared" ca="1" si="14"/>
        <v>80.920293105066321</v>
      </c>
      <c r="E514" s="3">
        <f t="shared" ca="1" si="15"/>
        <v>0</v>
      </c>
    </row>
    <row r="515" spans="4:5" ht="18.75" x14ac:dyDescent="0.3">
      <c r="D515" s="3">
        <f t="shared" ref="D515:D578" ca="1" si="16">$B$4*EXP(($B$7-$B$8*$B$8*0.5)*$B$6+$B$8*SQRT($B$6)*_xlfn.NORM.S.INV(RAND()))</f>
        <v>164.54880447299976</v>
      </c>
      <c r="E515" s="3">
        <f t="shared" ref="E515:E578" ca="1" si="17">IF($B$3="call",MAX(D515-$B$5,0),MAX($B$5-D515,0))</f>
        <v>64.548804472999763</v>
      </c>
    </row>
    <row r="516" spans="4:5" ht="18.75" x14ac:dyDescent="0.3">
      <c r="D516" s="3">
        <f t="shared" ca="1" si="16"/>
        <v>123.33205846673101</v>
      </c>
      <c r="E516" s="3">
        <f t="shared" ca="1" si="17"/>
        <v>23.332058466731013</v>
      </c>
    </row>
    <row r="517" spans="4:5" ht="18.75" x14ac:dyDescent="0.3">
      <c r="D517" s="3">
        <f t="shared" ca="1" si="16"/>
        <v>126.91500699844407</v>
      </c>
      <c r="E517" s="3">
        <f t="shared" ca="1" si="17"/>
        <v>26.915006998444071</v>
      </c>
    </row>
    <row r="518" spans="4:5" ht="18.75" x14ac:dyDescent="0.3">
      <c r="D518" s="3">
        <f t="shared" ca="1" si="16"/>
        <v>113.91002106941788</v>
      </c>
      <c r="E518" s="3">
        <f t="shared" ca="1" si="17"/>
        <v>13.91002106941788</v>
      </c>
    </row>
    <row r="519" spans="4:5" ht="18.75" x14ac:dyDescent="0.3">
      <c r="D519" s="3">
        <f t="shared" ca="1" si="16"/>
        <v>79.846531425455041</v>
      </c>
      <c r="E519" s="3">
        <f t="shared" ca="1" si="17"/>
        <v>0</v>
      </c>
    </row>
    <row r="520" spans="4:5" ht="18.75" x14ac:dyDescent="0.3">
      <c r="D520" s="3">
        <f t="shared" ca="1" si="16"/>
        <v>123.95867277097538</v>
      </c>
      <c r="E520" s="3">
        <f t="shared" ca="1" si="17"/>
        <v>23.958672770975383</v>
      </c>
    </row>
    <row r="521" spans="4:5" ht="18.75" x14ac:dyDescent="0.3">
      <c r="D521" s="3">
        <f t="shared" ca="1" si="16"/>
        <v>98.677865132871133</v>
      </c>
      <c r="E521" s="3">
        <f t="shared" ca="1" si="17"/>
        <v>0</v>
      </c>
    </row>
    <row r="522" spans="4:5" ht="18.75" x14ac:dyDescent="0.3">
      <c r="D522" s="3">
        <f t="shared" ca="1" si="16"/>
        <v>132.3423601187537</v>
      </c>
      <c r="E522" s="3">
        <f t="shared" ca="1" si="17"/>
        <v>32.342360118753703</v>
      </c>
    </row>
    <row r="523" spans="4:5" ht="18.75" x14ac:dyDescent="0.3">
      <c r="D523" s="3">
        <f t="shared" ca="1" si="16"/>
        <v>110.21340300857341</v>
      </c>
      <c r="E523" s="3">
        <f t="shared" ca="1" si="17"/>
        <v>10.213403008573408</v>
      </c>
    </row>
    <row r="524" spans="4:5" ht="18.75" x14ac:dyDescent="0.3">
      <c r="D524" s="3">
        <f t="shared" ca="1" si="16"/>
        <v>130.88903233992269</v>
      </c>
      <c r="E524" s="3">
        <f t="shared" ca="1" si="17"/>
        <v>30.889032339922693</v>
      </c>
    </row>
    <row r="525" spans="4:5" ht="18.75" x14ac:dyDescent="0.3">
      <c r="D525" s="3">
        <f t="shared" ca="1" si="16"/>
        <v>100.52209567939643</v>
      </c>
      <c r="E525" s="3">
        <f t="shared" ca="1" si="17"/>
        <v>0.52209567939642909</v>
      </c>
    </row>
    <row r="526" spans="4:5" ht="18.75" x14ac:dyDescent="0.3">
      <c r="D526" s="3">
        <f t="shared" ca="1" si="16"/>
        <v>110.01010510531609</v>
      </c>
      <c r="E526" s="3">
        <f t="shared" ca="1" si="17"/>
        <v>10.010105105316086</v>
      </c>
    </row>
    <row r="527" spans="4:5" ht="18.75" x14ac:dyDescent="0.3">
      <c r="D527" s="3">
        <f t="shared" ca="1" si="16"/>
        <v>154.29536464579422</v>
      </c>
      <c r="E527" s="3">
        <f t="shared" ca="1" si="17"/>
        <v>54.295364645794223</v>
      </c>
    </row>
    <row r="528" spans="4:5" ht="18.75" x14ac:dyDescent="0.3">
      <c r="D528" s="3">
        <f t="shared" ca="1" si="16"/>
        <v>94.143321317532823</v>
      </c>
      <c r="E528" s="3">
        <f t="shared" ca="1" si="17"/>
        <v>0</v>
      </c>
    </row>
    <row r="529" spans="4:5" ht="18.75" x14ac:dyDescent="0.3">
      <c r="D529" s="3">
        <f t="shared" ca="1" si="16"/>
        <v>122.52566801167517</v>
      </c>
      <c r="E529" s="3">
        <f t="shared" ca="1" si="17"/>
        <v>22.525668011675165</v>
      </c>
    </row>
    <row r="530" spans="4:5" ht="18.75" x14ac:dyDescent="0.3">
      <c r="D530" s="3">
        <f t="shared" ca="1" si="16"/>
        <v>136.54372764787951</v>
      </c>
      <c r="E530" s="3">
        <f t="shared" ca="1" si="17"/>
        <v>36.543727647879507</v>
      </c>
    </row>
    <row r="531" spans="4:5" ht="18.75" x14ac:dyDescent="0.3">
      <c r="D531" s="3">
        <f t="shared" ca="1" si="16"/>
        <v>119.20852004705114</v>
      </c>
      <c r="E531" s="3">
        <f t="shared" ca="1" si="17"/>
        <v>19.208520047051138</v>
      </c>
    </row>
    <row r="532" spans="4:5" ht="18.75" x14ac:dyDescent="0.3">
      <c r="D532" s="3">
        <f t="shared" ca="1" si="16"/>
        <v>142.29586380845871</v>
      </c>
      <c r="E532" s="3">
        <f t="shared" ca="1" si="17"/>
        <v>42.295863808458705</v>
      </c>
    </row>
    <row r="533" spans="4:5" ht="18.75" x14ac:dyDescent="0.3">
      <c r="D533" s="3">
        <f t="shared" ca="1" si="16"/>
        <v>138.2438196906418</v>
      </c>
      <c r="E533" s="3">
        <f t="shared" ca="1" si="17"/>
        <v>38.2438196906418</v>
      </c>
    </row>
    <row r="534" spans="4:5" ht="18.75" x14ac:dyDescent="0.3">
      <c r="D534" s="3">
        <f t="shared" ca="1" si="16"/>
        <v>126.64455208581549</v>
      </c>
      <c r="E534" s="3">
        <f t="shared" ca="1" si="17"/>
        <v>26.644552085815491</v>
      </c>
    </row>
    <row r="535" spans="4:5" ht="18.75" x14ac:dyDescent="0.3">
      <c r="D535" s="3">
        <f t="shared" ca="1" si="16"/>
        <v>74.341953787025233</v>
      </c>
      <c r="E535" s="3">
        <f t="shared" ca="1" si="17"/>
        <v>0</v>
      </c>
    </row>
    <row r="536" spans="4:5" ht="18.75" x14ac:dyDescent="0.3">
      <c r="D536" s="3">
        <f t="shared" ca="1" si="16"/>
        <v>120.79597231241547</v>
      </c>
      <c r="E536" s="3">
        <f t="shared" ca="1" si="17"/>
        <v>20.795972312415472</v>
      </c>
    </row>
    <row r="537" spans="4:5" ht="18.75" x14ac:dyDescent="0.3">
      <c r="D537" s="3">
        <f t="shared" ca="1" si="16"/>
        <v>136.40748873949809</v>
      </c>
      <c r="E537" s="3">
        <f t="shared" ca="1" si="17"/>
        <v>36.407488739498092</v>
      </c>
    </row>
    <row r="538" spans="4:5" ht="18.75" x14ac:dyDescent="0.3">
      <c r="D538" s="3">
        <f t="shared" ca="1" si="16"/>
        <v>153.44346657369996</v>
      </c>
      <c r="E538" s="3">
        <f t="shared" ca="1" si="17"/>
        <v>53.443466573699965</v>
      </c>
    </row>
    <row r="539" spans="4:5" ht="18.75" x14ac:dyDescent="0.3">
      <c r="D539" s="3">
        <f t="shared" ca="1" si="16"/>
        <v>235.7171289870515</v>
      </c>
      <c r="E539" s="3">
        <f t="shared" ca="1" si="17"/>
        <v>135.7171289870515</v>
      </c>
    </row>
    <row r="540" spans="4:5" ht="18.75" x14ac:dyDescent="0.3">
      <c r="D540" s="3">
        <f t="shared" ca="1" si="16"/>
        <v>106.2035099016456</v>
      </c>
      <c r="E540" s="3">
        <f t="shared" ca="1" si="17"/>
        <v>6.203509901645603</v>
      </c>
    </row>
    <row r="541" spans="4:5" ht="18.75" x14ac:dyDescent="0.3">
      <c r="D541" s="3">
        <f t="shared" ca="1" si="16"/>
        <v>165.98984499400856</v>
      </c>
      <c r="E541" s="3">
        <f t="shared" ca="1" si="17"/>
        <v>65.989844994008564</v>
      </c>
    </row>
    <row r="542" spans="4:5" ht="18.75" x14ac:dyDescent="0.3">
      <c r="D542" s="3">
        <f t="shared" ca="1" si="16"/>
        <v>108.78860843257796</v>
      </c>
      <c r="E542" s="3">
        <f t="shared" ca="1" si="17"/>
        <v>8.7886084325779592</v>
      </c>
    </row>
    <row r="543" spans="4:5" ht="18.75" x14ac:dyDescent="0.3">
      <c r="D543" s="3">
        <f t="shared" ca="1" si="16"/>
        <v>103.98429937440521</v>
      </c>
      <c r="E543" s="3">
        <f t="shared" ca="1" si="17"/>
        <v>3.9842993744052109</v>
      </c>
    </row>
    <row r="544" spans="4:5" ht="18.75" x14ac:dyDescent="0.3">
      <c r="D544" s="3">
        <f t="shared" ca="1" si="16"/>
        <v>154.40674223314178</v>
      </c>
      <c r="E544" s="3">
        <f t="shared" ca="1" si="17"/>
        <v>54.406742233141784</v>
      </c>
    </row>
    <row r="545" spans="4:5" ht="18.75" x14ac:dyDescent="0.3">
      <c r="D545" s="3">
        <f t="shared" ca="1" si="16"/>
        <v>155.31369538702538</v>
      </c>
      <c r="E545" s="3">
        <f t="shared" ca="1" si="17"/>
        <v>55.313695387025376</v>
      </c>
    </row>
    <row r="546" spans="4:5" ht="18.75" x14ac:dyDescent="0.3">
      <c r="D546" s="3">
        <f t="shared" ca="1" si="16"/>
        <v>133.68160611669083</v>
      </c>
      <c r="E546" s="3">
        <f t="shared" ca="1" si="17"/>
        <v>33.68160611669083</v>
      </c>
    </row>
    <row r="547" spans="4:5" ht="18.75" x14ac:dyDescent="0.3">
      <c r="D547" s="3">
        <f t="shared" ca="1" si="16"/>
        <v>134.57504144503719</v>
      </c>
      <c r="E547" s="3">
        <f t="shared" ca="1" si="17"/>
        <v>34.575041445037186</v>
      </c>
    </row>
    <row r="548" spans="4:5" ht="18.75" x14ac:dyDescent="0.3">
      <c r="D548" s="3">
        <f t="shared" ca="1" si="16"/>
        <v>141.40256431353245</v>
      </c>
      <c r="E548" s="3">
        <f t="shared" ca="1" si="17"/>
        <v>41.402564313532451</v>
      </c>
    </row>
    <row r="549" spans="4:5" ht="18.75" x14ac:dyDescent="0.3">
      <c r="D549" s="3">
        <f t="shared" ca="1" si="16"/>
        <v>73.72539941533752</v>
      </c>
      <c r="E549" s="3">
        <f t="shared" ca="1" si="17"/>
        <v>0</v>
      </c>
    </row>
    <row r="550" spans="4:5" ht="18.75" x14ac:dyDescent="0.3">
      <c r="D550" s="3">
        <f t="shared" ca="1" si="16"/>
        <v>115.23417649054967</v>
      </c>
      <c r="E550" s="3">
        <f t="shared" ca="1" si="17"/>
        <v>15.234176490549672</v>
      </c>
    </row>
    <row r="551" spans="4:5" ht="18.75" x14ac:dyDescent="0.3">
      <c r="D551" s="3">
        <f t="shared" ca="1" si="16"/>
        <v>92.783499992347359</v>
      </c>
      <c r="E551" s="3">
        <f t="shared" ca="1" si="17"/>
        <v>0</v>
      </c>
    </row>
    <row r="552" spans="4:5" ht="18.75" x14ac:dyDescent="0.3">
      <c r="D552" s="3">
        <f t="shared" ca="1" si="16"/>
        <v>129.96850362793967</v>
      </c>
      <c r="E552" s="3">
        <f t="shared" ca="1" si="17"/>
        <v>29.968503627939668</v>
      </c>
    </row>
    <row r="553" spans="4:5" ht="18.75" x14ac:dyDescent="0.3">
      <c r="D553" s="3">
        <f t="shared" ca="1" si="16"/>
        <v>198.11425736669938</v>
      </c>
      <c r="E553" s="3">
        <f t="shared" ca="1" si="17"/>
        <v>98.114257366699377</v>
      </c>
    </row>
    <row r="554" spans="4:5" ht="18.75" x14ac:dyDescent="0.3">
      <c r="D554" s="3">
        <f t="shared" ca="1" si="16"/>
        <v>111.16683749808595</v>
      </c>
      <c r="E554" s="3">
        <f t="shared" ca="1" si="17"/>
        <v>11.166837498085954</v>
      </c>
    </row>
    <row r="555" spans="4:5" ht="18.75" x14ac:dyDescent="0.3">
      <c r="D555" s="3">
        <f t="shared" ca="1" si="16"/>
        <v>134.46652162797392</v>
      </c>
      <c r="E555" s="3">
        <f t="shared" ca="1" si="17"/>
        <v>34.466521627973918</v>
      </c>
    </row>
    <row r="556" spans="4:5" ht="18.75" x14ac:dyDescent="0.3">
      <c r="D556" s="3">
        <f t="shared" ca="1" si="16"/>
        <v>191.98260437892074</v>
      </c>
      <c r="E556" s="3">
        <f t="shared" ca="1" si="17"/>
        <v>91.98260437892074</v>
      </c>
    </row>
    <row r="557" spans="4:5" ht="18.75" x14ac:dyDescent="0.3">
      <c r="D557" s="3">
        <f t="shared" ca="1" si="16"/>
        <v>86.337857555800881</v>
      </c>
      <c r="E557" s="3">
        <f t="shared" ca="1" si="17"/>
        <v>0</v>
      </c>
    </row>
    <row r="558" spans="4:5" ht="18.75" x14ac:dyDescent="0.3">
      <c r="D558" s="3">
        <f t="shared" ca="1" si="16"/>
        <v>82.477948931185097</v>
      </c>
      <c r="E558" s="3">
        <f t="shared" ca="1" si="17"/>
        <v>0</v>
      </c>
    </row>
    <row r="559" spans="4:5" ht="18.75" x14ac:dyDescent="0.3">
      <c r="D559" s="3">
        <f t="shared" ca="1" si="16"/>
        <v>77.487415565363833</v>
      </c>
      <c r="E559" s="3">
        <f t="shared" ca="1" si="17"/>
        <v>0</v>
      </c>
    </row>
    <row r="560" spans="4:5" ht="18.75" x14ac:dyDescent="0.3">
      <c r="D560" s="3">
        <f t="shared" ca="1" si="16"/>
        <v>110.59150082275725</v>
      </c>
      <c r="E560" s="3">
        <f t="shared" ca="1" si="17"/>
        <v>10.591500822757254</v>
      </c>
    </row>
    <row r="561" spans="4:5" ht="18.75" x14ac:dyDescent="0.3">
      <c r="D561" s="3">
        <f t="shared" ca="1" si="16"/>
        <v>153.49532341387138</v>
      </c>
      <c r="E561" s="3">
        <f t="shared" ca="1" si="17"/>
        <v>53.495323413871375</v>
      </c>
    </row>
    <row r="562" spans="4:5" ht="18.75" x14ac:dyDescent="0.3">
      <c r="D562" s="3">
        <f t="shared" ca="1" si="16"/>
        <v>166.13550259124119</v>
      </c>
      <c r="E562" s="3">
        <f t="shared" ca="1" si="17"/>
        <v>66.135502591241192</v>
      </c>
    </row>
    <row r="563" spans="4:5" ht="18.75" x14ac:dyDescent="0.3">
      <c r="D563" s="3">
        <f t="shared" ca="1" si="16"/>
        <v>81.90793911175615</v>
      </c>
      <c r="E563" s="3">
        <f t="shared" ca="1" si="17"/>
        <v>0</v>
      </c>
    </row>
    <row r="564" spans="4:5" ht="18.75" x14ac:dyDescent="0.3">
      <c r="D564" s="3">
        <f t="shared" ca="1" si="16"/>
        <v>134.13975436136744</v>
      </c>
      <c r="E564" s="3">
        <f t="shared" ca="1" si="17"/>
        <v>34.139754361367437</v>
      </c>
    </row>
    <row r="565" spans="4:5" ht="18.75" x14ac:dyDescent="0.3">
      <c r="D565" s="3">
        <f t="shared" ca="1" si="16"/>
        <v>160.63185410753073</v>
      </c>
      <c r="E565" s="3">
        <f t="shared" ca="1" si="17"/>
        <v>60.631854107530728</v>
      </c>
    </row>
    <row r="566" spans="4:5" ht="18.75" x14ac:dyDescent="0.3">
      <c r="D566" s="3">
        <f t="shared" ca="1" si="16"/>
        <v>118.07964638787074</v>
      </c>
      <c r="E566" s="3">
        <f t="shared" ca="1" si="17"/>
        <v>18.079646387870739</v>
      </c>
    </row>
    <row r="567" spans="4:5" ht="18.75" x14ac:dyDescent="0.3">
      <c r="D567" s="3">
        <f t="shared" ca="1" si="16"/>
        <v>69.147970131363707</v>
      </c>
      <c r="E567" s="3">
        <f t="shared" ca="1" si="17"/>
        <v>0</v>
      </c>
    </row>
    <row r="568" spans="4:5" ht="18.75" x14ac:dyDescent="0.3">
      <c r="D568" s="3">
        <f t="shared" ca="1" si="16"/>
        <v>111.90493088115537</v>
      </c>
      <c r="E568" s="3">
        <f t="shared" ca="1" si="17"/>
        <v>11.904930881155366</v>
      </c>
    </row>
    <row r="569" spans="4:5" ht="18.75" x14ac:dyDescent="0.3">
      <c r="D569" s="3">
        <f t="shared" ca="1" si="16"/>
        <v>104.27883504794178</v>
      </c>
      <c r="E569" s="3">
        <f t="shared" ca="1" si="17"/>
        <v>4.2788350479417829</v>
      </c>
    </row>
    <row r="570" spans="4:5" ht="18.75" x14ac:dyDescent="0.3">
      <c r="D570" s="3">
        <f t="shared" ca="1" si="16"/>
        <v>126.25666637511894</v>
      </c>
      <c r="E570" s="3">
        <f t="shared" ca="1" si="17"/>
        <v>26.25666637511894</v>
      </c>
    </row>
    <row r="571" spans="4:5" ht="18.75" x14ac:dyDescent="0.3">
      <c r="D571" s="3">
        <f t="shared" ca="1" si="16"/>
        <v>173.71256954744899</v>
      </c>
      <c r="E571" s="3">
        <f t="shared" ca="1" si="17"/>
        <v>73.712569547448993</v>
      </c>
    </row>
    <row r="572" spans="4:5" ht="18.75" x14ac:dyDescent="0.3">
      <c r="D572" s="3">
        <f t="shared" ca="1" si="16"/>
        <v>107.0362302612935</v>
      </c>
      <c r="E572" s="3">
        <f t="shared" ca="1" si="17"/>
        <v>7.0362302612934968</v>
      </c>
    </row>
    <row r="573" spans="4:5" ht="18.75" x14ac:dyDescent="0.3">
      <c r="D573" s="3">
        <f t="shared" ca="1" si="16"/>
        <v>99.585816215284552</v>
      </c>
      <c r="E573" s="3">
        <f t="shared" ca="1" si="17"/>
        <v>0</v>
      </c>
    </row>
    <row r="574" spans="4:5" ht="18.75" x14ac:dyDescent="0.3">
      <c r="D574" s="3">
        <f t="shared" ca="1" si="16"/>
        <v>163.68308196977929</v>
      </c>
      <c r="E574" s="3">
        <f t="shared" ca="1" si="17"/>
        <v>63.683081969779295</v>
      </c>
    </row>
    <row r="575" spans="4:5" ht="18.75" x14ac:dyDescent="0.3">
      <c r="D575" s="3">
        <f t="shared" ca="1" si="16"/>
        <v>250.81751295999277</v>
      </c>
      <c r="E575" s="3">
        <f t="shared" ca="1" si="17"/>
        <v>150.81751295999277</v>
      </c>
    </row>
    <row r="576" spans="4:5" ht="18.75" x14ac:dyDescent="0.3">
      <c r="D576" s="3">
        <f t="shared" ca="1" si="16"/>
        <v>118.17676141806375</v>
      </c>
      <c r="E576" s="3">
        <f t="shared" ca="1" si="17"/>
        <v>18.176761418063748</v>
      </c>
    </row>
    <row r="577" spans="4:5" ht="18.75" x14ac:dyDescent="0.3">
      <c r="D577" s="3">
        <f t="shared" ca="1" si="16"/>
        <v>107.47293347431224</v>
      </c>
      <c r="E577" s="3">
        <f t="shared" ca="1" si="17"/>
        <v>7.4729334743122422</v>
      </c>
    </row>
    <row r="578" spans="4:5" ht="18.75" x14ac:dyDescent="0.3">
      <c r="D578" s="3">
        <f t="shared" ca="1" si="16"/>
        <v>133.65137623902731</v>
      </c>
      <c r="E578" s="3">
        <f t="shared" ca="1" si="17"/>
        <v>33.651376239027314</v>
      </c>
    </row>
    <row r="579" spans="4:5" ht="18.75" x14ac:dyDescent="0.3">
      <c r="D579" s="3">
        <f t="shared" ref="D579:D642" ca="1" si="18">$B$4*EXP(($B$7-$B$8*$B$8*0.5)*$B$6+$B$8*SQRT($B$6)*_xlfn.NORM.S.INV(RAND()))</f>
        <v>92.525839842473488</v>
      </c>
      <c r="E579" s="3">
        <f t="shared" ref="E579:E642" ca="1" si="19">IF($B$3="call",MAX(D579-$B$5,0),MAX($B$5-D579,0))</f>
        <v>0</v>
      </c>
    </row>
    <row r="580" spans="4:5" ht="18.75" x14ac:dyDescent="0.3">
      <c r="D580" s="3">
        <f t="shared" ca="1" si="18"/>
        <v>148.10101962064064</v>
      </c>
      <c r="E580" s="3">
        <f t="shared" ca="1" si="19"/>
        <v>48.101019620640642</v>
      </c>
    </row>
    <row r="581" spans="4:5" ht="18.75" x14ac:dyDescent="0.3">
      <c r="D581" s="3">
        <f t="shared" ca="1" si="18"/>
        <v>124.5579798481738</v>
      </c>
      <c r="E581" s="3">
        <f t="shared" ca="1" si="19"/>
        <v>24.557979848173801</v>
      </c>
    </row>
    <row r="582" spans="4:5" ht="18.75" x14ac:dyDescent="0.3">
      <c r="D582" s="3">
        <f t="shared" ca="1" si="18"/>
        <v>115.41967548078043</v>
      </c>
      <c r="E582" s="3">
        <f t="shared" ca="1" si="19"/>
        <v>15.419675480780427</v>
      </c>
    </row>
    <row r="583" spans="4:5" ht="18.75" x14ac:dyDescent="0.3">
      <c r="D583" s="3">
        <f t="shared" ca="1" si="18"/>
        <v>175.72729829527523</v>
      </c>
      <c r="E583" s="3">
        <f t="shared" ca="1" si="19"/>
        <v>75.727298295275233</v>
      </c>
    </row>
    <row r="584" spans="4:5" ht="18.75" x14ac:dyDescent="0.3">
      <c r="D584" s="3">
        <f t="shared" ca="1" si="18"/>
        <v>106.19740279052634</v>
      </c>
      <c r="E584" s="3">
        <f t="shared" ca="1" si="19"/>
        <v>6.1974027905263398</v>
      </c>
    </row>
    <row r="585" spans="4:5" ht="18.75" x14ac:dyDescent="0.3">
      <c r="D585" s="3">
        <f t="shared" ca="1" si="18"/>
        <v>124.88159254933822</v>
      </c>
      <c r="E585" s="3">
        <f t="shared" ca="1" si="19"/>
        <v>24.881592549338222</v>
      </c>
    </row>
    <row r="586" spans="4:5" ht="18.75" x14ac:dyDescent="0.3">
      <c r="D586" s="3">
        <f t="shared" ca="1" si="18"/>
        <v>246.88102272000586</v>
      </c>
      <c r="E586" s="3">
        <f t="shared" ca="1" si="19"/>
        <v>146.88102272000586</v>
      </c>
    </row>
    <row r="587" spans="4:5" ht="18.75" x14ac:dyDescent="0.3">
      <c r="D587" s="3">
        <f t="shared" ca="1" si="18"/>
        <v>155.86639561552076</v>
      </c>
      <c r="E587" s="3">
        <f t="shared" ca="1" si="19"/>
        <v>55.866395615520759</v>
      </c>
    </row>
    <row r="588" spans="4:5" ht="18.75" x14ac:dyDescent="0.3">
      <c r="D588" s="3">
        <f t="shared" ca="1" si="18"/>
        <v>121.74292647137921</v>
      </c>
      <c r="E588" s="3">
        <f t="shared" ca="1" si="19"/>
        <v>21.742926471379207</v>
      </c>
    </row>
    <row r="589" spans="4:5" ht="18.75" x14ac:dyDescent="0.3">
      <c r="D589" s="3">
        <f t="shared" ca="1" si="18"/>
        <v>84.767496897478026</v>
      </c>
      <c r="E589" s="3">
        <f t="shared" ca="1" si="19"/>
        <v>0</v>
      </c>
    </row>
    <row r="590" spans="4:5" ht="18.75" x14ac:dyDescent="0.3">
      <c r="D590" s="3">
        <f t="shared" ca="1" si="18"/>
        <v>159.19309455646916</v>
      </c>
      <c r="E590" s="3">
        <f t="shared" ca="1" si="19"/>
        <v>59.193094556469163</v>
      </c>
    </row>
    <row r="591" spans="4:5" ht="18.75" x14ac:dyDescent="0.3">
      <c r="D591" s="3">
        <f t="shared" ca="1" si="18"/>
        <v>126.52168447022495</v>
      </c>
      <c r="E591" s="3">
        <f t="shared" ca="1" si="19"/>
        <v>26.521684470224955</v>
      </c>
    </row>
    <row r="592" spans="4:5" ht="18.75" x14ac:dyDescent="0.3">
      <c r="D592" s="3">
        <f t="shared" ca="1" si="18"/>
        <v>89.139970755521659</v>
      </c>
      <c r="E592" s="3">
        <f t="shared" ca="1" si="19"/>
        <v>0</v>
      </c>
    </row>
    <row r="593" spans="4:5" ht="18.75" x14ac:dyDescent="0.3">
      <c r="D593" s="3">
        <f t="shared" ca="1" si="18"/>
        <v>84.021041727426365</v>
      </c>
      <c r="E593" s="3">
        <f t="shared" ca="1" si="19"/>
        <v>0</v>
      </c>
    </row>
    <row r="594" spans="4:5" ht="18.75" x14ac:dyDescent="0.3">
      <c r="D594" s="3">
        <f t="shared" ca="1" si="18"/>
        <v>120.24481087700298</v>
      </c>
      <c r="E594" s="3">
        <f t="shared" ca="1" si="19"/>
        <v>20.244810877002976</v>
      </c>
    </row>
    <row r="595" spans="4:5" ht="18.75" x14ac:dyDescent="0.3">
      <c r="D595" s="3">
        <f t="shared" ca="1" si="18"/>
        <v>99.655222695916535</v>
      </c>
      <c r="E595" s="3">
        <f t="shared" ca="1" si="19"/>
        <v>0</v>
      </c>
    </row>
    <row r="596" spans="4:5" ht="18.75" x14ac:dyDescent="0.3">
      <c r="D596" s="3">
        <f t="shared" ca="1" si="18"/>
        <v>131.85933336466093</v>
      </c>
      <c r="E596" s="3">
        <f t="shared" ca="1" si="19"/>
        <v>31.859333364660927</v>
      </c>
    </row>
    <row r="597" spans="4:5" ht="18.75" x14ac:dyDescent="0.3">
      <c r="D597" s="3">
        <f t="shared" ca="1" si="18"/>
        <v>87.221051406616183</v>
      </c>
      <c r="E597" s="3">
        <f t="shared" ca="1" si="19"/>
        <v>0</v>
      </c>
    </row>
    <row r="598" spans="4:5" ht="18.75" x14ac:dyDescent="0.3">
      <c r="D598" s="3">
        <f t="shared" ca="1" si="18"/>
        <v>91.102240173158236</v>
      </c>
      <c r="E598" s="3">
        <f t="shared" ca="1" si="19"/>
        <v>0</v>
      </c>
    </row>
    <row r="599" spans="4:5" ht="18.75" x14ac:dyDescent="0.3">
      <c r="D599" s="3">
        <f t="shared" ca="1" si="18"/>
        <v>84.775237088137288</v>
      </c>
      <c r="E599" s="3">
        <f t="shared" ca="1" si="19"/>
        <v>0</v>
      </c>
    </row>
    <row r="600" spans="4:5" ht="18.75" x14ac:dyDescent="0.3">
      <c r="D600" s="3">
        <f t="shared" ca="1" si="18"/>
        <v>170.22855986682043</v>
      </c>
      <c r="E600" s="3">
        <f t="shared" ca="1" si="19"/>
        <v>70.228559866820433</v>
      </c>
    </row>
    <row r="601" spans="4:5" ht="18.75" x14ac:dyDescent="0.3">
      <c r="D601" s="3">
        <f t="shared" ca="1" si="18"/>
        <v>178.53618887321878</v>
      </c>
      <c r="E601" s="3">
        <f t="shared" ca="1" si="19"/>
        <v>78.536188873218777</v>
      </c>
    </row>
    <row r="602" spans="4:5" ht="18.75" x14ac:dyDescent="0.3">
      <c r="D602" s="3">
        <f t="shared" ca="1" si="18"/>
        <v>83.764501542136259</v>
      </c>
      <c r="E602" s="3">
        <f t="shared" ca="1" si="19"/>
        <v>0</v>
      </c>
    </row>
    <row r="603" spans="4:5" ht="18.75" x14ac:dyDescent="0.3">
      <c r="D603" s="3">
        <f t="shared" ca="1" si="18"/>
        <v>163.26897844308593</v>
      </c>
      <c r="E603" s="3">
        <f t="shared" ca="1" si="19"/>
        <v>63.268978443085928</v>
      </c>
    </row>
    <row r="604" spans="4:5" ht="18.75" x14ac:dyDescent="0.3">
      <c r="D604" s="3">
        <f t="shared" ca="1" si="18"/>
        <v>137.43092047473922</v>
      </c>
      <c r="E604" s="3">
        <f t="shared" ca="1" si="19"/>
        <v>37.430920474739224</v>
      </c>
    </row>
    <row r="605" spans="4:5" ht="18.75" x14ac:dyDescent="0.3">
      <c r="D605" s="3">
        <f t="shared" ca="1" si="18"/>
        <v>107.44660778518886</v>
      </c>
      <c r="E605" s="3">
        <f t="shared" ca="1" si="19"/>
        <v>7.4466077851888599</v>
      </c>
    </row>
    <row r="606" spans="4:5" ht="18.75" x14ac:dyDescent="0.3">
      <c r="D606" s="3">
        <f t="shared" ca="1" si="18"/>
        <v>94.764772535339773</v>
      </c>
      <c r="E606" s="3">
        <f t="shared" ca="1" si="19"/>
        <v>0</v>
      </c>
    </row>
    <row r="607" spans="4:5" ht="18.75" x14ac:dyDescent="0.3">
      <c r="D607" s="3">
        <f t="shared" ca="1" si="18"/>
        <v>163.07827175418757</v>
      </c>
      <c r="E607" s="3">
        <f t="shared" ca="1" si="19"/>
        <v>63.078271754187568</v>
      </c>
    </row>
    <row r="608" spans="4:5" ht="18.75" x14ac:dyDescent="0.3">
      <c r="D608" s="3">
        <f t="shared" ca="1" si="18"/>
        <v>122.28229210185482</v>
      </c>
      <c r="E608" s="3">
        <f t="shared" ca="1" si="19"/>
        <v>22.282292101854821</v>
      </c>
    </row>
    <row r="609" spans="4:5" ht="18.75" x14ac:dyDescent="0.3">
      <c r="D609" s="3">
        <f t="shared" ca="1" si="18"/>
        <v>142.70801737028751</v>
      </c>
      <c r="E609" s="3">
        <f t="shared" ca="1" si="19"/>
        <v>42.708017370287507</v>
      </c>
    </row>
    <row r="610" spans="4:5" ht="18.75" x14ac:dyDescent="0.3">
      <c r="D610" s="3">
        <f t="shared" ca="1" si="18"/>
        <v>106.3285824422199</v>
      </c>
      <c r="E610" s="3">
        <f t="shared" ca="1" si="19"/>
        <v>6.3285824422198971</v>
      </c>
    </row>
    <row r="611" spans="4:5" ht="18.75" x14ac:dyDescent="0.3">
      <c r="D611" s="3">
        <f t="shared" ca="1" si="18"/>
        <v>91.972221010510779</v>
      </c>
      <c r="E611" s="3">
        <f t="shared" ca="1" si="19"/>
        <v>0</v>
      </c>
    </row>
    <row r="612" spans="4:5" ht="18.75" x14ac:dyDescent="0.3">
      <c r="D612" s="3">
        <f t="shared" ca="1" si="18"/>
        <v>72.24989773941661</v>
      </c>
      <c r="E612" s="3">
        <f t="shared" ca="1" si="19"/>
        <v>0</v>
      </c>
    </row>
    <row r="613" spans="4:5" ht="18.75" x14ac:dyDescent="0.3">
      <c r="D613" s="3">
        <f t="shared" ca="1" si="18"/>
        <v>105.07779961206529</v>
      </c>
      <c r="E613" s="3">
        <f t="shared" ca="1" si="19"/>
        <v>5.0777996120652915</v>
      </c>
    </row>
    <row r="614" spans="4:5" ht="18.75" x14ac:dyDescent="0.3">
      <c r="D614" s="3">
        <f t="shared" ca="1" si="18"/>
        <v>119.01092607246693</v>
      </c>
      <c r="E614" s="3">
        <f t="shared" ca="1" si="19"/>
        <v>19.01092607246693</v>
      </c>
    </row>
    <row r="615" spans="4:5" ht="18.75" x14ac:dyDescent="0.3">
      <c r="D615" s="3">
        <f t="shared" ca="1" si="18"/>
        <v>108.42379883305205</v>
      </c>
      <c r="E615" s="3">
        <f t="shared" ca="1" si="19"/>
        <v>8.4237988330520466</v>
      </c>
    </row>
    <row r="616" spans="4:5" ht="18.75" x14ac:dyDescent="0.3">
      <c r="D616" s="3">
        <f t="shared" ca="1" si="18"/>
        <v>180.18463162369628</v>
      </c>
      <c r="E616" s="3">
        <f t="shared" ca="1" si="19"/>
        <v>80.184631623696276</v>
      </c>
    </row>
    <row r="617" spans="4:5" ht="18.75" x14ac:dyDescent="0.3">
      <c r="D617" s="3">
        <f t="shared" ca="1" si="18"/>
        <v>120.89161522407362</v>
      </c>
      <c r="E617" s="3">
        <f t="shared" ca="1" si="19"/>
        <v>20.891615224073618</v>
      </c>
    </row>
    <row r="618" spans="4:5" ht="18.75" x14ac:dyDescent="0.3">
      <c r="D618" s="3">
        <f t="shared" ca="1" si="18"/>
        <v>105.02731685942553</v>
      </c>
      <c r="E618" s="3">
        <f t="shared" ca="1" si="19"/>
        <v>5.0273168594255253</v>
      </c>
    </row>
    <row r="619" spans="4:5" ht="18.75" x14ac:dyDescent="0.3">
      <c r="D619" s="3">
        <f t="shared" ca="1" si="18"/>
        <v>101.75187458017112</v>
      </c>
      <c r="E619" s="3">
        <f t="shared" ca="1" si="19"/>
        <v>1.7518745801711191</v>
      </c>
    </row>
    <row r="620" spans="4:5" ht="18.75" x14ac:dyDescent="0.3">
      <c r="D620" s="3">
        <f t="shared" ca="1" si="18"/>
        <v>109.82887955293197</v>
      </c>
      <c r="E620" s="3">
        <f t="shared" ca="1" si="19"/>
        <v>9.8288795529319657</v>
      </c>
    </row>
    <row r="621" spans="4:5" ht="18.75" x14ac:dyDescent="0.3">
      <c r="D621" s="3">
        <f t="shared" ca="1" si="18"/>
        <v>111.34620263045987</v>
      </c>
      <c r="E621" s="3">
        <f t="shared" ca="1" si="19"/>
        <v>11.346202630459871</v>
      </c>
    </row>
    <row r="622" spans="4:5" ht="18.75" x14ac:dyDescent="0.3">
      <c r="D622" s="3">
        <f t="shared" ca="1" si="18"/>
        <v>150.11500573304951</v>
      </c>
      <c r="E622" s="3">
        <f t="shared" ca="1" si="19"/>
        <v>50.115005733049514</v>
      </c>
    </row>
    <row r="623" spans="4:5" ht="18.75" x14ac:dyDescent="0.3">
      <c r="D623" s="3">
        <f t="shared" ca="1" si="18"/>
        <v>148.50730890468279</v>
      </c>
      <c r="E623" s="3">
        <f t="shared" ca="1" si="19"/>
        <v>48.507308904682787</v>
      </c>
    </row>
    <row r="624" spans="4:5" ht="18.75" x14ac:dyDescent="0.3">
      <c r="D624" s="3">
        <f t="shared" ca="1" si="18"/>
        <v>89.394457019468305</v>
      </c>
      <c r="E624" s="3">
        <f t="shared" ca="1" si="19"/>
        <v>0</v>
      </c>
    </row>
    <row r="625" spans="4:5" ht="18.75" x14ac:dyDescent="0.3">
      <c r="D625" s="3">
        <f t="shared" ca="1" si="18"/>
        <v>79.777494509482651</v>
      </c>
      <c r="E625" s="3">
        <f t="shared" ca="1" si="19"/>
        <v>0</v>
      </c>
    </row>
    <row r="626" spans="4:5" ht="18.75" x14ac:dyDescent="0.3">
      <c r="D626" s="3">
        <f t="shared" ca="1" si="18"/>
        <v>134.1352849171476</v>
      </c>
      <c r="E626" s="3">
        <f t="shared" ca="1" si="19"/>
        <v>34.135284917147601</v>
      </c>
    </row>
    <row r="627" spans="4:5" ht="18.75" x14ac:dyDescent="0.3">
      <c r="D627" s="3">
        <f t="shared" ca="1" si="18"/>
        <v>159.88952561795551</v>
      </c>
      <c r="E627" s="3">
        <f t="shared" ca="1" si="19"/>
        <v>59.889525617955513</v>
      </c>
    </row>
    <row r="628" spans="4:5" ht="18.75" x14ac:dyDescent="0.3">
      <c r="D628" s="3">
        <f t="shared" ca="1" si="18"/>
        <v>126.69612961117416</v>
      </c>
      <c r="E628" s="3">
        <f t="shared" ca="1" si="19"/>
        <v>26.696129611174158</v>
      </c>
    </row>
    <row r="629" spans="4:5" ht="18.75" x14ac:dyDescent="0.3">
      <c r="D629" s="3">
        <f t="shared" ca="1" si="18"/>
        <v>150.63592886102253</v>
      </c>
      <c r="E629" s="3">
        <f t="shared" ca="1" si="19"/>
        <v>50.635928861022535</v>
      </c>
    </row>
    <row r="630" spans="4:5" ht="18.75" x14ac:dyDescent="0.3">
      <c r="D630" s="3">
        <f t="shared" ca="1" si="18"/>
        <v>135.74988099151693</v>
      </c>
      <c r="E630" s="3">
        <f t="shared" ca="1" si="19"/>
        <v>35.749880991516932</v>
      </c>
    </row>
    <row r="631" spans="4:5" ht="18.75" x14ac:dyDescent="0.3">
      <c r="D631" s="3">
        <f t="shared" ca="1" si="18"/>
        <v>194.94483343035668</v>
      </c>
      <c r="E631" s="3">
        <f t="shared" ca="1" si="19"/>
        <v>94.944833430356681</v>
      </c>
    </row>
    <row r="632" spans="4:5" ht="18.75" x14ac:dyDescent="0.3">
      <c r="D632" s="3">
        <f t="shared" ca="1" si="18"/>
        <v>138.44677394232571</v>
      </c>
      <c r="E632" s="3">
        <f t="shared" ca="1" si="19"/>
        <v>38.446773942325706</v>
      </c>
    </row>
    <row r="633" spans="4:5" ht="18.75" x14ac:dyDescent="0.3">
      <c r="D633" s="3">
        <f t="shared" ca="1" si="18"/>
        <v>73.614502001483288</v>
      </c>
      <c r="E633" s="3">
        <f t="shared" ca="1" si="19"/>
        <v>0</v>
      </c>
    </row>
    <row r="634" spans="4:5" ht="18.75" x14ac:dyDescent="0.3">
      <c r="D634" s="3">
        <f t="shared" ca="1" si="18"/>
        <v>117.0862050248828</v>
      </c>
      <c r="E634" s="3">
        <f t="shared" ca="1" si="19"/>
        <v>17.086205024882801</v>
      </c>
    </row>
    <row r="635" spans="4:5" ht="18.75" x14ac:dyDescent="0.3">
      <c r="D635" s="3">
        <f t="shared" ca="1" si="18"/>
        <v>85.945471796027661</v>
      </c>
      <c r="E635" s="3">
        <f t="shared" ca="1" si="19"/>
        <v>0</v>
      </c>
    </row>
    <row r="636" spans="4:5" ht="18.75" x14ac:dyDescent="0.3">
      <c r="D636" s="3">
        <f t="shared" ca="1" si="18"/>
        <v>119.69682309611154</v>
      </c>
      <c r="E636" s="3">
        <f t="shared" ca="1" si="19"/>
        <v>19.696823096111544</v>
      </c>
    </row>
    <row r="637" spans="4:5" ht="18.75" x14ac:dyDescent="0.3">
      <c r="D637" s="3">
        <f t="shared" ca="1" si="18"/>
        <v>118.84946348155646</v>
      </c>
      <c r="E637" s="3">
        <f t="shared" ca="1" si="19"/>
        <v>18.849463481556455</v>
      </c>
    </row>
    <row r="638" spans="4:5" ht="18.75" x14ac:dyDescent="0.3">
      <c r="D638" s="3">
        <f t="shared" ca="1" si="18"/>
        <v>133.50007921017956</v>
      </c>
      <c r="E638" s="3">
        <f t="shared" ca="1" si="19"/>
        <v>33.500079210179564</v>
      </c>
    </row>
    <row r="639" spans="4:5" ht="18.75" x14ac:dyDescent="0.3">
      <c r="D639" s="3">
        <f t="shared" ca="1" si="18"/>
        <v>127.83672902941544</v>
      </c>
      <c r="E639" s="3">
        <f t="shared" ca="1" si="19"/>
        <v>27.836729029415437</v>
      </c>
    </row>
    <row r="640" spans="4:5" ht="18.75" x14ac:dyDescent="0.3">
      <c r="D640" s="3">
        <f t="shared" ca="1" si="18"/>
        <v>151.79718111235613</v>
      </c>
      <c r="E640" s="3">
        <f t="shared" ca="1" si="19"/>
        <v>51.797181112356128</v>
      </c>
    </row>
    <row r="641" spans="4:5" ht="18.75" x14ac:dyDescent="0.3">
      <c r="D641" s="3">
        <f t="shared" ca="1" si="18"/>
        <v>170.41387988911714</v>
      </c>
      <c r="E641" s="3">
        <f t="shared" ca="1" si="19"/>
        <v>70.41387988911714</v>
      </c>
    </row>
    <row r="642" spans="4:5" ht="18.75" x14ac:dyDescent="0.3">
      <c r="D642" s="3">
        <f t="shared" ca="1" si="18"/>
        <v>148.95337521585029</v>
      </c>
      <c r="E642" s="3">
        <f t="shared" ca="1" si="19"/>
        <v>48.953375215850286</v>
      </c>
    </row>
    <row r="643" spans="4:5" ht="18.75" x14ac:dyDescent="0.3">
      <c r="D643" s="3">
        <f t="shared" ref="D643:D706" ca="1" si="20">$B$4*EXP(($B$7-$B$8*$B$8*0.5)*$B$6+$B$8*SQRT($B$6)*_xlfn.NORM.S.INV(RAND()))</f>
        <v>141.38666202818172</v>
      </c>
      <c r="E643" s="3">
        <f t="shared" ref="E643:E706" ca="1" si="21">IF($B$3="call",MAX(D643-$B$5,0),MAX($B$5-D643,0))</f>
        <v>41.386662028181718</v>
      </c>
    </row>
    <row r="644" spans="4:5" ht="18.75" x14ac:dyDescent="0.3">
      <c r="D644" s="3">
        <f t="shared" ca="1" si="20"/>
        <v>111.61858991502712</v>
      </c>
      <c r="E644" s="3">
        <f t="shared" ca="1" si="21"/>
        <v>11.618589915027115</v>
      </c>
    </row>
    <row r="645" spans="4:5" ht="18.75" x14ac:dyDescent="0.3">
      <c r="D645" s="3">
        <f t="shared" ca="1" si="20"/>
        <v>217.24079494761912</v>
      </c>
      <c r="E645" s="3">
        <f t="shared" ca="1" si="21"/>
        <v>117.24079494761912</v>
      </c>
    </row>
    <row r="646" spans="4:5" ht="18.75" x14ac:dyDescent="0.3">
      <c r="D646" s="3">
        <f t="shared" ca="1" si="20"/>
        <v>135.42181973127782</v>
      </c>
      <c r="E646" s="3">
        <f t="shared" ca="1" si="21"/>
        <v>35.421819731277822</v>
      </c>
    </row>
    <row r="647" spans="4:5" ht="18.75" x14ac:dyDescent="0.3">
      <c r="D647" s="3">
        <f t="shared" ca="1" si="20"/>
        <v>181.55245711894236</v>
      </c>
      <c r="E647" s="3">
        <f t="shared" ca="1" si="21"/>
        <v>81.552457118942357</v>
      </c>
    </row>
    <row r="648" spans="4:5" ht="18.75" x14ac:dyDescent="0.3">
      <c r="D648" s="3">
        <f t="shared" ca="1" si="20"/>
        <v>108.18087020551066</v>
      </c>
      <c r="E648" s="3">
        <f t="shared" ca="1" si="21"/>
        <v>8.1808702055106579</v>
      </c>
    </row>
    <row r="649" spans="4:5" ht="18.75" x14ac:dyDescent="0.3">
      <c r="D649" s="3">
        <f t="shared" ca="1" si="20"/>
        <v>97.362377537187498</v>
      </c>
      <c r="E649" s="3">
        <f t="shared" ca="1" si="21"/>
        <v>0</v>
      </c>
    </row>
    <row r="650" spans="4:5" ht="18.75" x14ac:dyDescent="0.3">
      <c r="D650" s="3">
        <f t="shared" ca="1" si="20"/>
        <v>160.41003584341499</v>
      </c>
      <c r="E650" s="3">
        <f t="shared" ca="1" si="21"/>
        <v>60.410035843414988</v>
      </c>
    </row>
    <row r="651" spans="4:5" ht="18.75" x14ac:dyDescent="0.3">
      <c r="D651" s="3">
        <f t="shared" ca="1" si="20"/>
        <v>120.31642988241616</v>
      </c>
      <c r="E651" s="3">
        <f t="shared" ca="1" si="21"/>
        <v>20.316429882416159</v>
      </c>
    </row>
    <row r="652" spans="4:5" ht="18.75" x14ac:dyDescent="0.3">
      <c r="D652" s="3">
        <f t="shared" ca="1" si="20"/>
        <v>106.9549517678591</v>
      </c>
      <c r="E652" s="3">
        <f t="shared" ca="1" si="21"/>
        <v>6.9549517678591002</v>
      </c>
    </row>
    <row r="653" spans="4:5" ht="18.75" x14ac:dyDescent="0.3">
      <c r="D653" s="3">
        <f t="shared" ca="1" si="20"/>
        <v>110.30735662311466</v>
      </c>
      <c r="E653" s="3">
        <f t="shared" ca="1" si="21"/>
        <v>10.307356623114657</v>
      </c>
    </row>
    <row r="654" spans="4:5" ht="18.75" x14ac:dyDescent="0.3">
      <c r="D654" s="3">
        <f t="shared" ca="1" si="20"/>
        <v>145.97492000957087</v>
      </c>
      <c r="E654" s="3">
        <f t="shared" ca="1" si="21"/>
        <v>45.974920009570866</v>
      </c>
    </row>
    <row r="655" spans="4:5" ht="18.75" x14ac:dyDescent="0.3">
      <c r="D655" s="3">
        <f t="shared" ca="1" si="20"/>
        <v>116.93702619916301</v>
      </c>
      <c r="E655" s="3">
        <f t="shared" ca="1" si="21"/>
        <v>16.937026199163014</v>
      </c>
    </row>
    <row r="656" spans="4:5" ht="18.75" x14ac:dyDescent="0.3">
      <c r="D656" s="3">
        <f t="shared" ca="1" si="20"/>
        <v>139.41182795382812</v>
      </c>
      <c r="E656" s="3">
        <f t="shared" ca="1" si="21"/>
        <v>39.411827953828123</v>
      </c>
    </row>
    <row r="657" spans="4:5" ht="18.75" x14ac:dyDescent="0.3">
      <c r="D657" s="3">
        <f t="shared" ca="1" si="20"/>
        <v>131.9291274954177</v>
      </c>
      <c r="E657" s="3">
        <f t="shared" ca="1" si="21"/>
        <v>31.929127495417703</v>
      </c>
    </row>
    <row r="658" spans="4:5" ht="18.75" x14ac:dyDescent="0.3">
      <c r="D658" s="3">
        <f t="shared" ca="1" si="20"/>
        <v>102.80287531294725</v>
      </c>
      <c r="E658" s="3">
        <f t="shared" ca="1" si="21"/>
        <v>2.8028753129472506</v>
      </c>
    </row>
    <row r="659" spans="4:5" ht="18.75" x14ac:dyDescent="0.3">
      <c r="D659" s="3">
        <f t="shared" ca="1" si="20"/>
        <v>83.128694710870661</v>
      </c>
      <c r="E659" s="3">
        <f t="shared" ca="1" si="21"/>
        <v>0</v>
      </c>
    </row>
    <row r="660" spans="4:5" ht="18.75" x14ac:dyDescent="0.3">
      <c r="D660" s="3">
        <f t="shared" ca="1" si="20"/>
        <v>87.739828921552601</v>
      </c>
      <c r="E660" s="3">
        <f t="shared" ca="1" si="21"/>
        <v>0</v>
      </c>
    </row>
    <row r="661" spans="4:5" ht="18.75" x14ac:dyDescent="0.3">
      <c r="D661" s="3">
        <f t="shared" ca="1" si="20"/>
        <v>167.5218953497799</v>
      </c>
      <c r="E661" s="3">
        <f t="shared" ca="1" si="21"/>
        <v>67.521895349779896</v>
      </c>
    </row>
    <row r="662" spans="4:5" ht="18.75" x14ac:dyDescent="0.3">
      <c r="D662" s="3">
        <f t="shared" ca="1" si="20"/>
        <v>200.08490613100972</v>
      </c>
      <c r="E662" s="3">
        <f t="shared" ca="1" si="21"/>
        <v>100.08490613100972</v>
      </c>
    </row>
    <row r="663" spans="4:5" ht="18.75" x14ac:dyDescent="0.3">
      <c r="D663" s="3">
        <f t="shared" ca="1" si="20"/>
        <v>116.61162329402008</v>
      </c>
      <c r="E663" s="3">
        <f t="shared" ca="1" si="21"/>
        <v>16.611623294020077</v>
      </c>
    </row>
    <row r="664" spans="4:5" ht="18.75" x14ac:dyDescent="0.3">
      <c r="D664" s="3">
        <f t="shared" ca="1" si="20"/>
        <v>109.60483465856142</v>
      </c>
      <c r="E664" s="3">
        <f t="shared" ca="1" si="21"/>
        <v>9.6048346585614155</v>
      </c>
    </row>
    <row r="665" spans="4:5" ht="18.75" x14ac:dyDescent="0.3">
      <c r="D665" s="3">
        <f t="shared" ca="1" si="20"/>
        <v>113.33567562153819</v>
      </c>
      <c r="E665" s="3">
        <f t="shared" ca="1" si="21"/>
        <v>13.335675621538186</v>
      </c>
    </row>
    <row r="666" spans="4:5" ht="18.75" x14ac:dyDescent="0.3">
      <c r="D666" s="3">
        <f t="shared" ca="1" si="20"/>
        <v>112.23306773944688</v>
      </c>
      <c r="E666" s="3">
        <f t="shared" ca="1" si="21"/>
        <v>12.233067739446881</v>
      </c>
    </row>
    <row r="667" spans="4:5" ht="18.75" x14ac:dyDescent="0.3">
      <c r="D667" s="3">
        <f t="shared" ca="1" si="20"/>
        <v>147.67049912650913</v>
      </c>
      <c r="E667" s="3">
        <f t="shared" ca="1" si="21"/>
        <v>47.670499126509128</v>
      </c>
    </row>
    <row r="668" spans="4:5" ht="18.75" x14ac:dyDescent="0.3">
      <c r="D668" s="3">
        <f t="shared" ca="1" si="20"/>
        <v>92.048657534108315</v>
      </c>
      <c r="E668" s="3">
        <f t="shared" ca="1" si="21"/>
        <v>0</v>
      </c>
    </row>
    <row r="669" spans="4:5" ht="18.75" x14ac:dyDescent="0.3">
      <c r="D669" s="3">
        <f t="shared" ca="1" si="20"/>
        <v>93.846861120589082</v>
      </c>
      <c r="E669" s="3">
        <f t="shared" ca="1" si="21"/>
        <v>0</v>
      </c>
    </row>
    <row r="670" spans="4:5" ht="18.75" x14ac:dyDescent="0.3">
      <c r="D670" s="3">
        <f t="shared" ca="1" si="20"/>
        <v>129.99321297165102</v>
      </c>
      <c r="E670" s="3">
        <f t="shared" ca="1" si="21"/>
        <v>29.993212971651019</v>
      </c>
    </row>
    <row r="671" spans="4:5" ht="18.75" x14ac:dyDescent="0.3">
      <c r="D671" s="3">
        <f t="shared" ca="1" si="20"/>
        <v>103.8095251812021</v>
      </c>
      <c r="E671" s="3">
        <f t="shared" ca="1" si="21"/>
        <v>3.8095251812021047</v>
      </c>
    </row>
    <row r="672" spans="4:5" ht="18.75" x14ac:dyDescent="0.3">
      <c r="D672" s="3">
        <f t="shared" ca="1" si="20"/>
        <v>120.72392920502004</v>
      </c>
      <c r="E672" s="3">
        <f t="shared" ca="1" si="21"/>
        <v>20.723929205020042</v>
      </c>
    </row>
    <row r="673" spans="4:5" ht="18.75" x14ac:dyDescent="0.3">
      <c r="D673" s="3">
        <f t="shared" ca="1" si="20"/>
        <v>100.11963377894824</v>
      </c>
      <c r="E673" s="3">
        <f t="shared" ca="1" si="21"/>
        <v>0.11963377894824134</v>
      </c>
    </row>
    <row r="674" spans="4:5" ht="18.75" x14ac:dyDescent="0.3">
      <c r="D674" s="3">
        <f t="shared" ca="1" si="20"/>
        <v>160.22400371330963</v>
      </c>
      <c r="E674" s="3">
        <f t="shared" ca="1" si="21"/>
        <v>60.224003713309628</v>
      </c>
    </row>
    <row r="675" spans="4:5" ht="18.75" x14ac:dyDescent="0.3">
      <c r="D675" s="3">
        <f t="shared" ca="1" si="20"/>
        <v>200.6822763361491</v>
      </c>
      <c r="E675" s="3">
        <f t="shared" ca="1" si="21"/>
        <v>100.6822763361491</v>
      </c>
    </row>
    <row r="676" spans="4:5" ht="18.75" x14ac:dyDescent="0.3">
      <c r="D676" s="3">
        <f t="shared" ca="1" si="20"/>
        <v>190.37835363933377</v>
      </c>
      <c r="E676" s="3">
        <f t="shared" ca="1" si="21"/>
        <v>90.378353639333767</v>
      </c>
    </row>
    <row r="677" spans="4:5" ht="18.75" x14ac:dyDescent="0.3">
      <c r="D677" s="3">
        <f t="shared" ca="1" si="20"/>
        <v>98.759084450979259</v>
      </c>
      <c r="E677" s="3">
        <f t="shared" ca="1" si="21"/>
        <v>0</v>
      </c>
    </row>
    <row r="678" spans="4:5" ht="18.75" x14ac:dyDescent="0.3">
      <c r="D678" s="3">
        <f t="shared" ca="1" si="20"/>
        <v>108.15993789131291</v>
      </c>
      <c r="E678" s="3">
        <f t="shared" ca="1" si="21"/>
        <v>8.1599378913129073</v>
      </c>
    </row>
    <row r="679" spans="4:5" ht="18.75" x14ac:dyDescent="0.3">
      <c r="D679" s="3">
        <f t="shared" ca="1" si="20"/>
        <v>123.95728508380466</v>
      </c>
      <c r="E679" s="3">
        <f t="shared" ca="1" si="21"/>
        <v>23.957285083804663</v>
      </c>
    </row>
    <row r="680" spans="4:5" ht="18.75" x14ac:dyDescent="0.3">
      <c r="D680" s="3">
        <f t="shared" ca="1" si="20"/>
        <v>144.35296487266442</v>
      </c>
      <c r="E680" s="3">
        <f t="shared" ca="1" si="21"/>
        <v>44.352964872664415</v>
      </c>
    </row>
    <row r="681" spans="4:5" ht="18.75" x14ac:dyDescent="0.3">
      <c r="D681" s="3">
        <f t="shared" ca="1" si="20"/>
        <v>128.20174595290899</v>
      </c>
      <c r="E681" s="3">
        <f t="shared" ca="1" si="21"/>
        <v>28.201745952908993</v>
      </c>
    </row>
    <row r="682" spans="4:5" ht="18.75" x14ac:dyDescent="0.3">
      <c r="D682" s="3">
        <f t="shared" ca="1" si="20"/>
        <v>80.897360583125035</v>
      </c>
      <c r="E682" s="3">
        <f t="shared" ca="1" si="21"/>
        <v>0</v>
      </c>
    </row>
    <row r="683" spans="4:5" ht="18.75" x14ac:dyDescent="0.3">
      <c r="D683" s="3">
        <f t="shared" ca="1" si="20"/>
        <v>90.925277011378554</v>
      </c>
      <c r="E683" s="3">
        <f t="shared" ca="1" si="21"/>
        <v>0</v>
      </c>
    </row>
    <row r="684" spans="4:5" ht="18.75" x14ac:dyDescent="0.3">
      <c r="D684" s="3">
        <f t="shared" ca="1" si="20"/>
        <v>106.40415800206424</v>
      </c>
      <c r="E684" s="3">
        <f t="shared" ca="1" si="21"/>
        <v>6.4041580020642357</v>
      </c>
    </row>
    <row r="685" spans="4:5" ht="18.75" x14ac:dyDescent="0.3">
      <c r="D685" s="3">
        <f t="shared" ca="1" si="20"/>
        <v>241.79148212589382</v>
      </c>
      <c r="E685" s="3">
        <f t="shared" ca="1" si="21"/>
        <v>141.79148212589382</v>
      </c>
    </row>
    <row r="686" spans="4:5" ht="18.75" x14ac:dyDescent="0.3">
      <c r="D686" s="3">
        <f t="shared" ca="1" si="20"/>
        <v>126.17668743556878</v>
      </c>
      <c r="E686" s="3">
        <f t="shared" ca="1" si="21"/>
        <v>26.17668743556878</v>
      </c>
    </row>
    <row r="687" spans="4:5" ht="18.75" x14ac:dyDescent="0.3">
      <c r="D687" s="3">
        <f t="shared" ca="1" si="20"/>
        <v>124.12306569804896</v>
      </c>
      <c r="E687" s="3">
        <f t="shared" ca="1" si="21"/>
        <v>24.123065698048961</v>
      </c>
    </row>
    <row r="688" spans="4:5" ht="18.75" x14ac:dyDescent="0.3">
      <c r="D688" s="3">
        <f t="shared" ca="1" si="20"/>
        <v>55.536715121554536</v>
      </c>
      <c r="E688" s="3">
        <f t="shared" ca="1" si="21"/>
        <v>0</v>
      </c>
    </row>
    <row r="689" spans="4:5" ht="18.75" x14ac:dyDescent="0.3">
      <c r="D689" s="3">
        <f t="shared" ca="1" si="20"/>
        <v>107.99427013856717</v>
      </c>
      <c r="E689" s="3">
        <f t="shared" ca="1" si="21"/>
        <v>7.9942701385671739</v>
      </c>
    </row>
    <row r="690" spans="4:5" ht="18.75" x14ac:dyDescent="0.3">
      <c r="D690" s="3">
        <f t="shared" ca="1" si="20"/>
        <v>59.541455171472371</v>
      </c>
      <c r="E690" s="3">
        <f t="shared" ca="1" si="21"/>
        <v>0</v>
      </c>
    </row>
    <row r="691" spans="4:5" ht="18.75" x14ac:dyDescent="0.3">
      <c r="D691" s="3">
        <f t="shared" ca="1" si="20"/>
        <v>128.25022690344522</v>
      </c>
      <c r="E691" s="3">
        <f t="shared" ca="1" si="21"/>
        <v>28.250226903445224</v>
      </c>
    </row>
    <row r="692" spans="4:5" ht="18.75" x14ac:dyDescent="0.3">
      <c r="D692" s="3">
        <f t="shared" ca="1" si="20"/>
        <v>111.30721648762551</v>
      </c>
      <c r="E692" s="3">
        <f t="shared" ca="1" si="21"/>
        <v>11.30721648762551</v>
      </c>
    </row>
    <row r="693" spans="4:5" ht="18.75" x14ac:dyDescent="0.3">
      <c r="D693" s="3">
        <f t="shared" ca="1" si="20"/>
        <v>110.10429012446825</v>
      </c>
      <c r="E693" s="3">
        <f t="shared" ca="1" si="21"/>
        <v>10.10429012446825</v>
      </c>
    </row>
    <row r="694" spans="4:5" ht="18.75" x14ac:dyDescent="0.3">
      <c r="D694" s="3">
        <f t="shared" ca="1" si="20"/>
        <v>158.6213120539179</v>
      </c>
      <c r="E694" s="3">
        <f t="shared" ca="1" si="21"/>
        <v>58.621312053917904</v>
      </c>
    </row>
    <row r="695" spans="4:5" ht="18.75" x14ac:dyDescent="0.3">
      <c r="D695" s="3">
        <f t="shared" ca="1" si="20"/>
        <v>119.48006020155151</v>
      </c>
      <c r="E695" s="3">
        <f t="shared" ca="1" si="21"/>
        <v>19.48006020155151</v>
      </c>
    </row>
    <row r="696" spans="4:5" ht="18.75" x14ac:dyDescent="0.3">
      <c r="D696" s="3">
        <f t="shared" ca="1" si="20"/>
        <v>69.157122344978788</v>
      </c>
      <c r="E696" s="3">
        <f t="shared" ca="1" si="21"/>
        <v>0</v>
      </c>
    </row>
    <row r="697" spans="4:5" ht="18.75" x14ac:dyDescent="0.3">
      <c r="D697" s="3">
        <f t="shared" ca="1" si="20"/>
        <v>120.14183955018125</v>
      </c>
      <c r="E697" s="3">
        <f t="shared" ca="1" si="21"/>
        <v>20.141839550181245</v>
      </c>
    </row>
    <row r="698" spans="4:5" ht="18.75" x14ac:dyDescent="0.3">
      <c r="D698" s="3">
        <f t="shared" ca="1" si="20"/>
        <v>89.084560889786545</v>
      </c>
      <c r="E698" s="3">
        <f t="shared" ca="1" si="21"/>
        <v>0</v>
      </c>
    </row>
    <row r="699" spans="4:5" ht="18.75" x14ac:dyDescent="0.3">
      <c r="D699" s="3">
        <f t="shared" ca="1" si="20"/>
        <v>116.94703671155808</v>
      </c>
      <c r="E699" s="3">
        <f t="shared" ca="1" si="21"/>
        <v>16.947036711558084</v>
      </c>
    </row>
    <row r="700" spans="4:5" ht="18.75" x14ac:dyDescent="0.3">
      <c r="D700" s="3">
        <f t="shared" ca="1" si="20"/>
        <v>133.95933040968742</v>
      </c>
      <c r="E700" s="3">
        <f t="shared" ca="1" si="21"/>
        <v>33.959330409687425</v>
      </c>
    </row>
    <row r="701" spans="4:5" ht="18.75" x14ac:dyDescent="0.3">
      <c r="D701" s="3">
        <f t="shared" ca="1" si="20"/>
        <v>152.72024535489101</v>
      </c>
      <c r="E701" s="3">
        <f t="shared" ca="1" si="21"/>
        <v>52.720245354891006</v>
      </c>
    </row>
    <row r="702" spans="4:5" ht="18.75" x14ac:dyDescent="0.3">
      <c r="D702" s="3">
        <f t="shared" ca="1" si="20"/>
        <v>94.177601605277061</v>
      </c>
      <c r="E702" s="3">
        <f t="shared" ca="1" si="21"/>
        <v>0</v>
      </c>
    </row>
    <row r="703" spans="4:5" ht="18.75" x14ac:dyDescent="0.3">
      <c r="D703" s="3">
        <f t="shared" ca="1" si="20"/>
        <v>100.16293310086893</v>
      </c>
      <c r="E703" s="3">
        <f t="shared" ca="1" si="21"/>
        <v>0.16293310086892632</v>
      </c>
    </row>
    <row r="704" spans="4:5" ht="18.75" x14ac:dyDescent="0.3">
      <c r="D704" s="3">
        <f t="shared" ca="1" si="20"/>
        <v>104.56381218539643</v>
      </c>
      <c r="E704" s="3">
        <f t="shared" ca="1" si="21"/>
        <v>4.5638121853964293</v>
      </c>
    </row>
    <row r="705" spans="4:5" ht="18.75" x14ac:dyDescent="0.3">
      <c r="D705" s="3">
        <f t="shared" ca="1" si="20"/>
        <v>119.14051471755872</v>
      </c>
      <c r="E705" s="3">
        <f t="shared" ca="1" si="21"/>
        <v>19.140514717558716</v>
      </c>
    </row>
    <row r="706" spans="4:5" ht="18.75" x14ac:dyDescent="0.3">
      <c r="D706" s="3">
        <f t="shared" ca="1" si="20"/>
        <v>96.397969697119265</v>
      </c>
      <c r="E706" s="3">
        <f t="shared" ca="1" si="21"/>
        <v>0</v>
      </c>
    </row>
    <row r="707" spans="4:5" ht="18.75" x14ac:dyDescent="0.3">
      <c r="D707" s="3">
        <f t="shared" ref="D707:D770" ca="1" si="22">$B$4*EXP(($B$7-$B$8*$B$8*0.5)*$B$6+$B$8*SQRT($B$6)*_xlfn.NORM.S.INV(RAND()))</f>
        <v>121.45550639992273</v>
      </c>
      <c r="E707" s="3">
        <f t="shared" ref="E707:E770" ca="1" si="23">IF($B$3="call",MAX(D707-$B$5,0),MAX($B$5-D707,0))</f>
        <v>21.455506399922726</v>
      </c>
    </row>
    <row r="708" spans="4:5" ht="18.75" x14ac:dyDescent="0.3">
      <c r="D708" s="3">
        <f t="shared" ca="1" si="22"/>
        <v>102.87653359945439</v>
      </c>
      <c r="E708" s="3">
        <f t="shared" ca="1" si="23"/>
        <v>2.8765335994543904</v>
      </c>
    </row>
    <row r="709" spans="4:5" ht="18.75" x14ac:dyDescent="0.3">
      <c r="D709" s="3">
        <f t="shared" ca="1" si="22"/>
        <v>163.79104848814009</v>
      </c>
      <c r="E709" s="3">
        <f t="shared" ca="1" si="23"/>
        <v>63.791048488140092</v>
      </c>
    </row>
    <row r="710" spans="4:5" ht="18.75" x14ac:dyDescent="0.3">
      <c r="D710" s="3">
        <f t="shared" ca="1" si="22"/>
        <v>133.59109945993794</v>
      </c>
      <c r="E710" s="3">
        <f t="shared" ca="1" si="23"/>
        <v>33.591099459937936</v>
      </c>
    </row>
    <row r="711" spans="4:5" ht="18.75" x14ac:dyDescent="0.3">
      <c r="D711" s="3">
        <f t="shared" ca="1" si="22"/>
        <v>106.35570696770358</v>
      </c>
      <c r="E711" s="3">
        <f t="shared" ca="1" si="23"/>
        <v>6.3557069677035827</v>
      </c>
    </row>
    <row r="712" spans="4:5" ht="18.75" x14ac:dyDescent="0.3">
      <c r="D712" s="3">
        <f t="shared" ca="1" si="22"/>
        <v>97.223280074824103</v>
      </c>
      <c r="E712" s="3">
        <f t="shared" ca="1" si="23"/>
        <v>0</v>
      </c>
    </row>
    <row r="713" spans="4:5" ht="18.75" x14ac:dyDescent="0.3">
      <c r="D713" s="3">
        <f t="shared" ca="1" si="22"/>
        <v>146.68093427575548</v>
      </c>
      <c r="E713" s="3">
        <f t="shared" ca="1" si="23"/>
        <v>46.680934275755476</v>
      </c>
    </row>
    <row r="714" spans="4:5" ht="18.75" x14ac:dyDescent="0.3">
      <c r="D714" s="3">
        <f t="shared" ca="1" si="22"/>
        <v>95.581825784066424</v>
      </c>
      <c r="E714" s="3">
        <f t="shared" ca="1" si="23"/>
        <v>0</v>
      </c>
    </row>
    <row r="715" spans="4:5" ht="18.75" x14ac:dyDescent="0.3">
      <c r="D715" s="3">
        <f t="shared" ca="1" si="22"/>
        <v>102.59103452887982</v>
      </c>
      <c r="E715" s="3">
        <f t="shared" ca="1" si="23"/>
        <v>2.5910345288798169</v>
      </c>
    </row>
    <row r="716" spans="4:5" ht="18.75" x14ac:dyDescent="0.3">
      <c r="D716" s="3">
        <f t="shared" ca="1" si="22"/>
        <v>135.15687630552907</v>
      </c>
      <c r="E716" s="3">
        <f t="shared" ca="1" si="23"/>
        <v>35.156876305529067</v>
      </c>
    </row>
    <row r="717" spans="4:5" ht="18.75" x14ac:dyDescent="0.3">
      <c r="D717" s="3">
        <f t="shared" ca="1" si="22"/>
        <v>137.46566475064978</v>
      </c>
      <c r="E717" s="3">
        <f t="shared" ca="1" si="23"/>
        <v>37.465664750649779</v>
      </c>
    </row>
    <row r="718" spans="4:5" ht="18.75" x14ac:dyDescent="0.3">
      <c r="D718" s="3">
        <f t="shared" ca="1" si="22"/>
        <v>162.23842093449193</v>
      </c>
      <c r="E718" s="3">
        <f t="shared" ca="1" si="23"/>
        <v>62.238420934491927</v>
      </c>
    </row>
    <row r="719" spans="4:5" ht="18.75" x14ac:dyDescent="0.3">
      <c r="D719" s="3">
        <f t="shared" ca="1" si="22"/>
        <v>109.49844960308606</v>
      </c>
      <c r="E719" s="3">
        <f t="shared" ca="1" si="23"/>
        <v>9.4984496030860583</v>
      </c>
    </row>
    <row r="720" spans="4:5" ht="18.75" x14ac:dyDescent="0.3">
      <c r="D720" s="3">
        <f t="shared" ca="1" si="22"/>
        <v>177.19589254028506</v>
      </c>
      <c r="E720" s="3">
        <f t="shared" ca="1" si="23"/>
        <v>77.195892540285058</v>
      </c>
    </row>
    <row r="721" spans="4:5" ht="18.75" x14ac:dyDescent="0.3">
      <c r="D721" s="3">
        <f t="shared" ca="1" si="22"/>
        <v>165.85794762818327</v>
      </c>
      <c r="E721" s="3">
        <f t="shared" ca="1" si="23"/>
        <v>65.857947628183268</v>
      </c>
    </row>
    <row r="722" spans="4:5" ht="18.75" x14ac:dyDescent="0.3">
      <c r="D722" s="3">
        <f t="shared" ca="1" si="22"/>
        <v>79.326706413792564</v>
      </c>
      <c r="E722" s="3">
        <f t="shared" ca="1" si="23"/>
        <v>0</v>
      </c>
    </row>
    <row r="723" spans="4:5" ht="18.75" x14ac:dyDescent="0.3">
      <c r="D723" s="3">
        <f t="shared" ca="1" si="22"/>
        <v>171.48964989222608</v>
      </c>
      <c r="E723" s="3">
        <f t="shared" ca="1" si="23"/>
        <v>71.489649892226083</v>
      </c>
    </row>
    <row r="724" spans="4:5" ht="18.75" x14ac:dyDescent="0.3">
      <c r="D724" s="3">
        <f t="shared" ca="1" si="22"/>
        <v>117.98956958652869</v>
      </c>
      <c r="E724" s="3">
        <f t="shared" ca="1" si="23"/>
        <v>17.989569586528688</v>
      </c>
    </row>
    <row r="725" spans="4:5" ht="18.75" x14ac:dyDescent="0.3">
      <c r="D725" s="3">
        <f t="shared" ca="1" si="22"/>
        <v>149.02936411064096</v>
      </c>
      <c r="E725" s="3">
        <f t="shared" ca="1" si="23"/>
        <v>49.029364110640955</v>
      </c>
    </row>
    <row r="726" spans="4:5" ht="18.75" x14ac:dyDescent="0.3">
      <c r="D726" s="3">
        <f t="shared" ca="1" si="22"/>
        <v>130.57567060467156</v>
      </c>
      <c r="E726" s="3">
        <f t="shared" ca="1" si="23"/>
        <v>30.575670604671558</v>
      </c>
    </row>
    <row r="727" spans="4:5" ht="18.75" x14ac:dyDescent="0.3">
      <c r="D727" s="3">
        <f t="shared" ca="1" si="22"/>
        <v>77.170235456618357</v>
      </c>
      <c r="E727" s="3">
        <f t="shared" ca="1" si="23"/>
        <v>0</v>
      </c>
    </row>
    <row r="728" spans="4:5" ht="18.75" x14ac:dyDescent="0.3">
      <c r="D728" s="3">
        <f t="shared" ca="1" si="22"/>
        <v>142.47702125673194</v>
      </c>
      <c r="E728" s="3">
        <f t="shared" ca="1" si="23"/>
        <v>42.477021256731945</v>
      </c>
    </row>
    <row r="729" spans="4:5" ht="18.75" x14ac:dyDescent="0.3">
      <c r="D729" s="3">
        <f t="shared" ca="1" si="22"/>
        <v>137.85538772336218</v>
      </c>
      <c r="E729" s="3">
        <f t="shared" ca="1" si="23"/>
        <v>37.855387723362185</v>
      </c>
    </row>
    <row r="730" spans="4:5" ht="18.75" x14ac:dyDescent="0.3">
      <c r="D730" s="3">
        <f t="shared" ca="1" si="22"/>
        <v>146.28647020198869</v>
      </c>
      <c r="E730" s="3">
        <f t="shared" ca="1" si="23"/>
        <v>46.286470201988692</v>
      </c>
    </row>
    <row r="731" spans="4:5" ht="18.75" x14ac:dyDescent="0.3">
      <c r="D731" s="3">
        <f t="shared" ca="1" si="22"/>
        <v>150.7464516180334</v>
      </c>
      <c r="E731" s="3">
        <f t="shared" ca="1" si="23"/>
        <v>50.746451618033404</v>
      </c>
    </row>
    <row r="732" spans="4:5" ht="18.75" x14ac:dyDescent="0.3">
      <c r="D732" s="3">
        <f t="shared" ca="1" si="22"/>
        <v>139.16171319951317</v>
      </c>
      <c r="E732" s="3">
        <f t="shared" ca="1" si="23"/>
        <v>39.161713199513173</v>
      </c>
    </row>
    <row r="733" spans="4:5" ht="18.75" x14ac:dyDescent="0.3">
      <c r="D733" s="3">
        <f t="shared" ca="1" si="22"/>
        <v>130.05555951668777</v>
      </c>
      <c r="E733" s="3">
        <f t="shared" ca="1" si="23"/>
        <v>30.055559516687765</v>
      </c>
    </row>
    <row r="734" spans="4:5" ht="18.75" x14ac:dyDescent="0.3">
      <c r="D734" s="3">
        <f t="shared" ca="1" si="22"/>
        <v>87.854346168557669</v>
      </c>
      <c r="E734" s="3">
        <f t="shared" ca="1" si="23"/>
        <v>0</v>
      </c>
    </row>
    <row r="735" spans="4:5" ht="18.75" x14ac:dyDescent="0.3">
      <c r="D735" s="3">
        <f t="shared" ca="1" si="22"/>
        <v>110.78790893201096</v>
      </c>
      <c r="E735" s="3">
        <f t="shared" ca="1" si="23"/>
        <v>10.787908932010964</v>
      </c>
    </row>
    <row r="736" spans="4:5" ht="18.75" x14ac:dyDescent="0.3">
      <c r="D736" s="3">
        <f t="shared" ca="1" si="22"/>
        <v>111.1997626863776</v>
      </c>
      <c r="E736" s="3">
        <f t="shared" ca="1" si="23"/>
        <v>11.199762686377596</v>
      </c>
    </row>
    <row r="737" spans="4:5" ht="18.75" x14ac:dyDescent="0.3">
      <c r="D737" s="3">
        <f t="shared" ca="1" si="22"/>
        <v>130.80424669377157</v>
      </c>
      <c r="E737" s="3">
        <f t="shared" ca="1" si="23"/>
        <v>30.804246693771574</v>
      </c>
    </row>
    <row r="738" spans="4:5" ht="18.75" x14ac:dyDescent="0.3">
      <c r="D738" s="3">
        <f t="shared" ca="1" si="22"/>
        <v>166.71015462267397</v>
      </c>
      <c r="E738" s="3">
        <f t="shared" ca="1" si="23"/>
        <v>66.710154622673969</v>
      </c>
    </row>
    <row r="739" spans="4:5" ht="18.75" x14ac:dyDescent="0.3">
      <c r="D739" s="3">
        <f t="shared" ca="1" si="22"/>
        <v>101.91948461070783</v>
      </c>
      <c r="E739" s="3">
        <f t="shared" ca="1" si="23"/>
        <v>1.9194846107078263</v>
      </c>
    </row>
    <row r="740" spans="4:5" ht="18.75" x14ac:dyDescent="0.3">
      <c r="D740" s="3">
        <f t="shared" ca="1" si="22"/>
        <v>146.79923975280292</v>
      </c>
      <c r="E740" s="3">
        <f t="shared" ca="1" si="23"/>
        <v>46.799239752802919</v>
      </c>
    </row>
    <row r="741" spans="4:5" ht="18.75" x14ac:dyDescent="0.3">
      <c r="D741" s="3">
        <f t="shared" ca="1" si="22"/>
        <v>97.747530584818989</v>
      </c>
      <c r="E741" s="3">
        <f t="shared" ca="1" si="23"/>
        <v>0</v>
      </c>
    </row>
    <row r="742" spans="4:5" ht="18.75" x14ac:dyDescent="0.3">
      <c r="D742" s="3">
        <f t="shared" ca="1" si="22"/>
        <v>81.837370967632438</v>
      </c>
      <c r="E742" s="3">
        <f t="shared" ca="1" si="23"/>
        <v>0</v>
      </c>
    </row>
    <row r="743" spans="4:5" ht="18.75" x14ac:dyDescent="0.3">
      <c r="D743" s="3">
        <f t="shared" ca="1" si="22"/>
        <v>115.00158878428832</v>
      </c>
      <c r="E743" s="3">
        <f t="shared" ca="1" si="23"/>
        <v>15.001588784288316</v>
      </c>
    </row>
    <row r="744" spans="4:5" ht="18.75" x14ac:dyDescent="0.3">
      <c r="D744" s="3">
        <f t="shared" ca="1" si="22"/>
        <v>154.60670560984394</v>
      </c>
      <c r="E744" s="3">
        <f t="shared" ca="1" si="23"/>
        <v>54.606705609843942</v>
      </c>
    </row>
    <row r="745" spans="4:5" ht="18.75" x14ac:dyDescent="0.3">
      <c r="D745" s="3">
        <f t="shared" ca="1" si="22"/>
        <v>92.48533055023745</v>
      </c>
      <c r="E745" s="3">
        <f t="shared" ca="1" si="23"/>
        <v>0</v>
      </c>
    </row>
    <row r="746" spans="4:5" ht="18.75" x14ac:dyDescent="0.3">
      <c r="D746" s="3">
        <f t="shared" ca="1" si="22"/>
        <v>75.696573565876534</v>
      </c>
      <c r="E746" s="3">
        <f t="shared" ca="1" si="23"/>
        <v>0</v>
      </c>
    </row>
    <row r="747" spans="4:5" ht="18.75" x14ac:dyDescent="0.3">
      <c r="D747" s="3">
        <f t="shared" ca="1" si="22"/>
        <v>181.27328806272831</v>
      </c>
      <c r="E747" s="3">
        <f t="shared" ca="1" si="23"/>
        <v>81.273288062728312</v>
      </c>
    </row>
    <row r="748" spans="4:5" ht="18.75" x14ac:dyDescent="0.3">
      <c r="D748" s="3">
        <f t="shared" ca="1" si="22"/>
        <v>109.4054579569498</v>
      </c>
      <c r="E748" s="3">
        <f t="shared" ca="1" si="23"/>
        <v>9.4054579569498031</v>
      </c>
    </row>
    <row r="749" spans="4:5" ht="18.75" x14ac:dyDescent="0.3">
      <c r="D749" s="3">
        <f t="shared" ca="1" si="22"/>
        <v>164.33352878623197</v>
      </c>
      <c r="E749" s="3">
        <f t="shared" ca="1" si="23"/>
        <v>64.333528786231966</v>
      </c>
    </row>
    <row r="750" spans="4:5" ht="18.75" x14ac:dyDescent="0.3">
      <c r="D750" s="3">
        <f t="shared" ca="1" si="22"/>
        <v>83.057477423198449</v>
      </c>
      <c r="E750" s="3">
        <f t="shared" ca="1" si="23"/>
        <v>0</v>
      </c>
    </row>
    <row r="751" spans="4:5" ht="18.75" x14ac:dyDescent="0.3">
      <c r="D751" s="3">
        <f t="shared" ca="1" si="22"/>
        <v>94.125204698677692</v>
      </c>
      <c r="E751" s="3">
        <f t="shared" ca="1" si="23"/>
        <v>0</v>
      </c>
    </row>
    <row r="752" spans="4:5" ht="18.75" x14ac:dyDescent="0.3">
      <c r="D752" s="3">
        <f t="shared" ca="1" si="22"/>
        <v>135.85200146330328</v>
      </c>
      <c r="E752" s="3">
        <f t="shared" ca="1" si="23"/>
        <v>35.852001463303282</v>
      </c>
    </row>
    <row r="753" spans="4:5" ht="18.75" x14ac:dyDescent="0.3">
      <c r="D753" s="3">
        <f t="shared" ca="1" si="22"/>
        <v>94.451325845852523</v>
      </c>
      <c r="E753" s="3">
        <f t="shared" ca="1" si="23"/>
        <v>0</v>
      </c>
    </row>
    <row r="754" spans="4:5" ht="18.75" x14ac:dyDescent="0.3">
      <c r="D754" s="3">
        <f t="shared" ca="1" si="22"/>
        <v>104.8263824425419</v>
      </c>
      <c r="E754" s="3">
        <f t="shared" ca="1" si="23"/>
        <v>4.8263824425418989</v>
      </c>
    </row>
    <row r="755" spans="4:5" ht="18.75" x14ac:dyDescent="0.3">
      <c r="D755" s="3">
        <f t="shared" ca="1" si="22"/>
        <v>157.80796312361804</v>
      </c>
      <c r="E755" s="3">
        <f t="shared" ca="1" si="23"/>
        <v>57.807963123618038</v>
      </c>
    </row>
    <row r="756" spans="4:5" ht="18.75" x14ac:dyDescent="0.3">
      <c r="D756" s="3">
        <f t="shared" ca="1" si="22"/>
        <v>70.37432685209275</v>
      </c>
      <c r="E756" s="3">
        <f t="shared" ca="1" si="23"/>
        <v>0</v>
      </c>
    </row>
    <row r="757" spans="4:5" ht="18.75" x14ac:dyDescent="0.3">
      <c r="D757" s="3">
        <f t="shared" ca="1" si="22"/>
        <v>114.20594507759515</v>
      </c>
      <c r="E757" s="3">
        <f t="shared" ca="1" si="23"/>
        <v>14.205945077595146</v>
      </c>
    </row>
    <row r="758" spans="4:5" ht="18.75" x14ac:dyDescent="0.3">
      <c r="D758" s="3">
        <f t="shared" ca="1" si="22"/>
        <v>108.03563370133043</v>
      </c>
      <c r="E758" s="3">
        <f t="shared" ca="1" si="23"/>
        <v>8.0356337013304255</v>
      </c>
    </row>
    <row r="759" spans="4:5" ht="18.75" x14ac:dyDescent="0.3">
      <c r="D759" s="3">
        <f t="shared" ca="1" si="22"/>
        <v>84.503393128072531</v>
      </c>
      <c r="E759" s="3">
        <f t="shared" ca="1" si="23"/>
        <v>0</v>
      </c>
    </row>
    <row r="760" spans="4:5" ht="18.75" x14ac:dyDescent="0.3">
      <c r="D760" s="3">
        <f t="shared" ca="1" si="22"/>
        <v>148.4329314804703</v>
      </c>
      <c r="E760" s="3">
        <f t="shared" ca="1" si="23"/>
        <v>48.432931480470302</v>
      </c>
    </row>
    <row r="761" spans="4:5" ht="18.75" x14ac:dyDescent="0.3">
      <c r="D761" s="3">
        <f t="shared" ca="1" si="22"/>
        <v>106.27898330833851</v>
      </c>
      <c r="E761" s="3">
        <f t="shared" ca="1" si="23"/>
        <v>6.2789833083385105</v>
      </c>
    </row>
    <row r="762" spans="4:5" ht="18.75" x14ac:dyDescent="0.3">
      <c r="D762" s="3">
        <f t="shared" ca="1" si="22"/>
        <v>203.70745353140939</v>
      </c>
      <c r="E762" s="3">
        <f t="shared" ca="1" si="23"/>
        <v>103.70745353140939</v>
      </c>
    </row>
    <row r="763" spans="4:5" ht="18.75" x14ac:dyDescent="0.3">
      <c r="D763" s="3">
        <f t="shared" ca="1" si="22"/>
        <v>204.36575504420222</v>
      </c>
      <c r="E763" s="3">
        <f t="shared" ca="1" si="23"/>
        <v>104.36575504420222</v>
      </c>
    </row>
    <row r="764" spans="4:5" ht="18.75" x14ac:dyDescent="0.3">
      <c r="D764" s="3">
        <f t="shared" ca="1" si="22"/>
        <v>102.35875756214965</v>
      </c>
      <c r="E764" s="3">
        <f t="shared" ca="1" si="23"/>
        <v>2.3587575621496484</v>
      </c>
    </row>
    <row r="765" spans="4:5" ht="18.75" x14ac:dyDescent="0.3">
      <c r="D765" s="3">
        <f t="shared" ca="1" si="22"/>
        <v>141.55751829052809</v>
      </c>
      <c r="E765" s="3">
        <f t="shared" ca="1" si="23"/>
        <v>41.557518290528094</v>
      </c>
    </row>
    <row r="766" spans="4:5" ht="18.75" x14ac:dyDescent="0.3">
      <c r="D766" s="3">
        <f t="shared" ca="1" si="22"/>
        <v>128.49769150004192</v>
      </c>
      <c r="E766" s="3">
        <f t="shared" ca="1" si="23"/>
        <v>28.497691500041924</v>
      </c>
    </row>
    <row r="767" spans="4:5" ht="18.75" x14ac:dyDescent="0.3">
      <c r="D767" s="3">
        <f t="shared" ca="1" si="22"/>
        <v>132.55459945750201</v>
      </c>
      <c r="E767" s="3">
        <f t="shared" ca="1" si="23"/>
        <v>32.554599457502007</v>
      </c>
    </row>
    <row r="768" spans="4:5" ht="18.75" x14ac:dyDescent="0.3">
      <c r="D768" s="3">
        <f t="shared" ca="1" si="22"/>
        <v>140.08685439763769</v>
      </c>
      <c r="E768" s="3">
        <f t="shared" ca="1" si="23"/>
        <v>40.086854397637694</v>
      </c>
    </row>
    <row r="769" spans="4:5" ht="18.75" x14ac:dyDescent="0.3">
      <c r="D769" s="3">
        <f t="shared" ca="1" si="22"/>
        <v>139.96393139874596</v>
      </c>
      <c r="E769" s="3">
        <f t="shared" ca="1" si="23"/>
        <v>39.963931398745956</v>
      </c>
    </row>
    <row r="770" spans="4:5" ht="18.75" x14ac:dyDescent="0.3">
      <c r="D770" s="3">
        <f t="shared" ca="1" si="22"/>
        <v>106.16582882340204</v>
      </c>
      <c r="E770" s="3">
        <f t="shared" ca="1" si="23"/>
        <v>6.1658288234020375</v>
      </c>
    </row>
    <row r="771" spans="4:5" ht="18.75" x14ac:dyDescent="0.3">
      <c r="D771" s="3">
        <f t="shared" ref="D771:D834" ca="1" si="24">$B$4*EXP(($B$7-$B$8*$B$8*0.5)*$B$6+$B$8*SQRT($B$6)*_xlfn.NORM.S.INV(RAND()))</f>
        <v>139.81408927712297</v>
      </c>
      <c r="E771" s="3">
        <f t="shared" ref="E771:E834" ca="1" si="25">IF($B$3="call",MAX(D771-$B$5,0),MAX($B$5-D771,0))</f>
        <v>39.814089277122974</v>
      </c>
    </row>
    <row r="772" spans="4:5" ht="18.75" x14ac:dyDescent="0.3">
      <c r="D772" s="3">
        <f t="shared" ca="1" si="24"/>
        <v>85.033034789442127</v>
      </c>
      <c r="E772" s="3">
        <f t="shared" ca="1" si="25"/>
        <v>0</v>
      </c>
    </row>
    <row r="773" spans="4:5" ht="18.75" x14ac:dyDescent="0.3">
      <c r="D773" s="3">
        <f t="shared" ca="1" si="24"/>
        <v>108.98030155671114</v>
      </c>
      <c r="E773" s="3">
        <f t="shared" ca="1" si="25"/>
        <v>8.9803015567111402</v>
      </c>
    </row>
    <row r="774" spans="4:5" ht="18.75" x14ac:dyDescent="0.3">
      <c r="D774" s="3">
        <f t="shared" ca="1" si="24"/>
        <v>100.56676766360337</v>
      </c>
      <c r="E774" s="3">
        <f t="shared" ca="1" si="25"/>
        <v>0.56676766360337183</v>
      </c>
    </row>
    <row r="775" spans="4:5" ht="18.75" x14ac:dyDescent="0.3">
      <c r="D775" s="3">
        <f t="shared" ca="1" si="24"/>
        <v>93.095337868953706</v>
      </c>
      <c r="E775" s="3">
        <f t="shared" ca="1" si="25"/>
        <v>0</v>
      </c>
    </row>
    <row r="776" spans="4:5" ht="18.75" x14ac:dyDescent="0.3">
      <c r="D776" s="3">
        <f t="shared" ca="1" si="24"/>
        <v>141.29137500207827</v>
      </c>
      <c r="E776" s="3">
        <f t="shared" ca="1" si="25"/>
        <v>41.291375002078269</v>
      </c>
    </row>
    <row r="777" spans="4:5" ht="18.75" x14ac:dyDescent="0.3">
      <c r="D777" s="3">
        <f t="shared" ca="1" si="24"/>
        <v>127.4357407145355</v>
      </c>
      <c r="E777" s="3">
        <f t="shared" ca="1" si="25"/>
        <v>27.435740714535498</v>
      </c>
    </row>
    <row r="778" spans="4:5" ht="18.75" x14ac:dyDescent="0.3">
      <c r="D778" s="3">
        <f t="shared" ca="1" si="24"/>
        <v>121.89273729547867</v>
      </c>
      <c r="E778" s="3">
        <f t="shared" ca="1" si="25"/>
        <v>21.892737295478668</v>
      </c>
    </row>
    <row r="779" spans="4:5" ht="18.75" x14ac:dyDescent="0.3">
      <c r="D779" s="3">
        <f t="shared" ca="1" si="24"/>
        <v>184.59130196848167</v>
      </c>
      <c r="E779" s="3">
        <f t="shared" ca="1" si="25"/>
        <v>84.591301968481673</v>
      </c>
    </row>
    <row r="780" spans="4:5" ht="18.75" x14ac:dyDescent="0.3">
      <c r="D780" s="3">
        <f t="shared" ca="1" si="24"/>
        <v>129.54238922296213</v>
      </c>
      <c r="E780" s="3">
        <f t="shared" ca="1" si="25"/>
        <v>29.542389222962129</v>
      </c>
    </row>
    <row r="781" spans="4:5" ht="18.75" x14ac:dyDescent="0.3">
      <c r="D781" s="3">
        <f t="shared" ca="1" si="24"/>
        <v>85.035592754447393</v>
      </c>
      <c r="E781" s="3">
        <f t="shared" ca="1" si="25"/>
        <v>0</v>
      </c>
    </row>
    <row r="782" spans="4:5" ht="18.75" x14ac:dyDescent="0.3">
      <c r="D782" s="3">
        <f t="shared" ca="1" si="24"/>
        <v>156.27142328849379</v>
      </c>
      <c r="E782" s="3">
        <f t="shared" ca="1" si="25"/>
        <v>56.271423288493793</v>
      </c>
    </row>
    <row r="783" spans="4:5" ht="18.75" x14ac:dyDescent="0.3">
      <c r="D783" s="3">
        <f t="shared" ca="1" si="24"/>
        <v>161.71249422907394</v>
      </c>
      <c r="E783" s="3">
        <f t="shared" ca="1" si="25"/>
        <v>61.71249422907394</v>
      </c>
    </row>
    <row r="784" spans="4:5" ht="18.75" x14ac:dyDescent="0.3">
      <c r="D784" s="3">
        <f t="shared" ca="1" si="24"/>
        <v>89.68393870003618</v>
      </c>
      <c r="E784" s="3">
        <f t="shared" ca="1" si="25"/>
        <v>0</v>
      </c>
    </row>
    <row r="785" spans="4:5" ht="18.75" x14ac:dyDescent="0.3">
      <c r="D785" s="3">
        <f t="shared" ca="1" si="24"/>
        <v>89.69499431926711</v>
      </c>
      <c r="E785" s="3">
        <f t="shared" ca="1" si="25"/>
        <v>0</v>
      </c>
    </row>
    <row r="786" spans="4:5" ht="18.75" x14ac:dyDescent="0.3">
      <c r="D786" s="3">
        <f t="shared" ca="1" si="24"/>
        <v>65.64520977117219</v>
      </c>
      <c r="E786" s="3">
        <f t="shared" ca="1" si="25"/>
        <v>0</v>
      </c>
    </row>
    <row r="787" spans="4:5" ht="18.75" x14ac:dyDescent="0.3">
      <c r="D787" s="3">
        <f t="shared" ca="1" si="24"/>
        <v>103.62858109802413</v>
      </c>
      <c r="E787" s="3">
        <f t="shared" ca="1" si="25"/>
        <v>3.628581098024128</v>
      </c>
    </row>
    <row r="788" spans="4:5" ht="18.75" x14ac:dyDescent="0.3">
      <c r="D788" s="3">
        <f t="shared" ca="1" si="24"/>
        <v>88.474543971208178</v>
      </c>
      <c r="E788" s="3">
        <f t="shared" ca="1" si="25"/>
        <v>0</v>
      </c>
    </row>
    <row r="789" spans="4:5" ht="18.75" x14ac:dyDescent="0.3">
      <c r="D789" s="3">
        <f t="shared" ca="1" si="24"/>
        <v>127.72457856878184</v>
      </c>
      <c r="E789" s="3">
        <f t="shared" ca="1" si="25"/>
        <v>27.724578568781837</v>
      </c>
    </row>
    <row r="790" spans="4:5" ht="18.75" x14ac:dyDescent="0.3">
      <c r="D790" s="3">
        <f t="shared" ca="1" si="24"/>
        <v>101.34081687913574</v>
      </c>
      <c r="E790" s="3">
        <f t="shared" ca="1" si="25"/>
        <v>1.340816879135744</v>
      </c>
    </row>
    <row r="791" spans="4:5" ht="18.75" x14ac:dyDescent="0.3">
      <c r="D791" s="3">
        <f t="shared" ca="1" si="24"/>
        <v>153.45034267003578</v>
      </c>
      <c r="E791" s="3">
        <f t="shared" ca="1" si="25"/>
        <v>53.450342670035781</v>
      </c>
    </row>
    <row r="792" spans="4:5" ht="18.75" x14ac:dyDescent="0.3">
      <c r="D792" s="3">
        <f t="shared" ca="1" si="24"/>
        <v>129.31912973310901</v>
      </c>
      <c r="E792" s="3">
        <f t="shared" ca="1" si="25"/>
        <v>29.319129733109008</v>
      </c>
    </row>
    <row r="793" spans="4:5" ht="18.75" x14ac:dyDescent="0.3">
      <c r="D793" s="3">
        <f t="shared" ca="1" si="24"/>
        <v>84.695075848816828</v>
      </c>
      <c r="E793" s="3">
        <f t="shared" ca="1" si="25"/>
        <v>0</v>
      </c>
    </row>
    <row r="794" spans="4:5" ht="18.75" x14ac:dyDescent="0.3">
      <c r="D794" s="3">
        <f t="shared" ca="1" si="24"/>
        <v>172.83022855623034</v>
      </c>
      <c r="E794" s="3">
        <f t="shared" ca="1" si="25"/>
        <v>72.830228556230338</v>
      </c>
    </row>
    <row r="795" spans="4:5" ht="18.75" x14ac:dyDescent="0.3">
      <c r="D795" s="3">
        <f t="shared" ca="1" si="24"/>
        <v>62.036346641194093</v>
      </c>
      <c r="E795" s="3">
        <f t="shared" ca="1" si="25"/>
        <v>0</v>
      </c>
    </row>
    <row r="796" spans="4:5" ht="18.75" x14ac:dyDescent="0.3">
      <c r="D796" s="3">
        <f t="shared" ca="1" si="24"/>
        <v>122.62560483365465</v>
      </c>
      <c r="E796" s="3">
        <f t="shared" ca="1" si="25"/>
        <v>22.625604833654648</v>
      </c>
    </row>
    <row r="797" spans="4:5" ht="18.75" x14ac:dyDescent="0.3">
      <c r="D797" s="3">
        <f t="shared" ca="1" si="24"/>
        <v>140.61360418065158</v>
      </c>
      <c r="E797" s="3">
        <f t="shared" ca="1" si="25"/>
        <v>40.613604180651578</v>
      </c>
    </row>
    <row r="798" spans="4:5" ht="18.75" x14ac:dyDescent="0.3">
      <c r="D798" s="3">
        <f t="shared" ca="1" si="24"/>
        <v>74.016045583731767</v>
      </c>
      <c r="E798" s="3">
        <f t="shared" ca="1" si="25"/>
        <v>0</v>
      </c>
    </row>
    <row r="799" spans="4:5" ht="18.75" x14ac:dyDescent="0.3">
      <c r="D799" s="3">
        <f t="shared" ca="1" si="24"/>
        <v>85.928032893482751</v>
      </c>
      <c r="E799" s="3">
        <f t="shared" ca="1" si="25"/>
        <v>0</v>
      </c>
    </row>
    <row r="800" spans="4:5" ht="18.75" x14ac:dyDescent="0.3">
      <c r="D800" s="3">
        <f t="shared" ca="1" si="24"/>
        <v>119.67587760637295</v>
      </c>
      <c r="E800" s="3">
        <f t="shared" ca="1" si="25"/>
        <v>19.67587760637295</v>
      </c>
    </row>
    <row r="801" spans="4:5" ht="18.75" x14ac:dyDescent="0.3">
      <c r="D801" s="3">
        <f t="shared" ca="1" si="24"/>
        <v>110.13641275077116</v>
      </c>
      <c r="E801" s="3">
        <f t="shared" ca="1" si="25"/>
        <v>10.136412750771157</v>
      </c>
    </row>
    <row r="802" spans="4:5" ht="18.75" x14ac:dyDescent="0.3">
      <c r="D802" s="3">
        <f t="shared" ca="1" si="24"/>
        <v>141.63986436905654</v>
      </c>
      <c r="E802" s="3">
        <f t="shared" ca="1" si="25"/>
        <v>41.639864369056539</v>
      </c>
    </row>
    <row r="803" spans="4:5" ht="18.75" x14ac:dyDescent="0.3">
      <c r="D803" s="3">
        <f t="shared" ca="1" si="24"/>
        <v>80.584754233133822</v>
      </c>
      <c r="E803" s="3">
        <f t="shared" ca="1" si="25"/>
        <v>0</v>
      </c>
    </row>
    <row r="804" spans="4:5" ht="18.75" x14ac:dyDescent="0.3">
      <c r="D804" s="3">
        <f t="shared" ca="1" si="24"/>
        <v>98.312426535943914</v>
      </c>
      <c r="E804" s="3">
        <f t="shared" ca="1" si="25"/>
        <v>0</v>
      </c>
    </row>
    <row r="805" spans="4:5" ht="18.75" x14ac:dyDescent="0.3">
      <c r="D805" s="3">
        <f t="shared" ca="1" si="24"/>
        <v>62.597439920925943</v>
      </c>
      <c r="E805" s="3">
        <f t="shared" ca="1" si="25"/>
        <v>0</v>
      </c>
    </row>
    <row r="806" spans="4:5" ht="18.75" x14ac:dyDescent="0.3">
      <c r="D806" s="3">
        <f t="shared" ca="1" si="24"/>
        <v>108.84540912961289</v>
      </c>
      <c r="E806" s="3">
        <f t="shared" ca="1" si="25"/>
        <v>8.8454091296128894</v>
      </c>
    </row>
    <row r="807" spans="4:5" ht="18.75" x14ac:dyDescent="0.3">
      <c r="D807" s="3">
        <f t="shared" ca="1" si="24"/>
        <v>91.002703054527956</v>
      </c>
      <c r="E807" s="3">
        <f t="shared" ca="1" si="25"/>
        <v>0</v>
      </c>
    </row>
    <row r="808" spans="4:5" ht="18.75" x14ac:dyDescent="0.3">
      <c r="D808" s="3">
        <f t="shared" ca="1" si="24"/>
        <v>111.17773884480057</v>
      </c>
      <c r="E808" s="3">
        <f t="shared" ca="1" si="25"/>
        <v>11.177738844800572</v>
      </c>
    </row>
    <row r="809" spans="4:5" ht="18.75" x14ac:dyDescent="0.3">
      <c r="D809" s="3">
        <f t="shared" ca="1" si="24"/>
        <v>102.11411394137318</v>
      </c>
      <c r="E809" s="3">
        <f t="shared" ca="1" si="25"/>
        <v>2.1141139413731764</v>
      </c>
    </row>
    <row r="810" spans="4:5" ht="18.75" x14ac:dyDescent="0.3">
      <c r="D810" s="3">
        <f t="shared" ca="1" si="24"/>
        <v>162.70236367190176</v>
      </c>
      <c r="E810" s="3">
        <f t="shared" ca="1" si="25"/>
        <v>62.702363671901765</v>
      </c>
    </row>
    <row r="811" spans="4:5" ht="18.75" x14ac:dyDescent="0.3">
      <c r="D811" s="3">
        <f t="shared" ca="1" si="24"/>
        <v>146.15236539045284</v>
      </c>
      <c r="E811" s="3">
        <f t="shared" ca="1" si="25"/>
        <v>46.152365390452843</v>
      </c>
    </row>
    <row r="812" spans="4:5" ht="18.75" x14ac:dyDescent="0.3">
      <c r="D812" s="3">
        <f t="shared" ca="1" si="24"/>
        <v>161.61180049917601</v>
      </c>
      <c r="E812" s="3">
        <f t="shared" ca="1" si="25"/>
        <v>61.611800499176013</v>
      </c>
    </row>
    <row r="813" spans="4:5" ht="18.75" x14ac:dyDescent="0.3">
      <c r="D813" s="3">
        <f t="shared" ca="1" si="24"/>
        <v>124.67387868614605</v>
      </c>
      <c r="E813" s="3">
        <f t="shared" ca="1" si="25"/>
        <v>24.673878686146054</v>
      </c>
    </row>
    <row r="814" spans="4:5" ht="18.75" x14ac:dyDescent="0.3">
      <c r="D814" s="3">
        <f t="shared" ca="1" si="24"/>
        <v>100.70007923869014</v>
      </c>
      <c r="E814" s="3">
        <f t="shared" ca="1" si="25"/>
        <v>0.70007923869013666</v>
      </c>
    </row>
    <row r="815" spans="4:5" ht="18.75" x14ac:dyDescent="0.3">
      <c r="D815" s="3">
        <f t="shared" ca="1" si="24"/>
        <v>213.44823768358842</v>
      </c>
      <c r="E815" s="3">
        <f t="shared" ca="1" si="25"/>
        <v>113.44823768358842</v>
      </c>
    </row>
    <row r="816" spans="4:5" ht="18.75" x14ac:dyDescent="0.3">
      <c r="D816" s="3">
        <f t="shared" ca="1" si="24"/>
        <v>128.55231825067713</v>
      </c>
      <c r="E816" s="3">
        <f t="shared" ca="1" si="25"/>
        <v>28.552318250677132</v>
      </c>
    </row>
    <row r="817" spans="4:5" ht="18.75" x14ac:dyDescent="0.3">
      <c r="D817" s="3">
        <f t="shared" ca="1" si="24"/>
        <v>119.7970749364754</v>
      </c>
      <c r="E817" s="3">
        <f t="shared" ca="1" si="25"/>
        <v>19.797074936475397</v>
      </c>
    </row>
    <row r="818" spans="4:5" ht="18.75" x14ac:dyDescent="0.3">
      <c r="D818" s="3">
        <f t="shared" ca="1" si="24"/>
        <v>63.425724264974562</v>
      </c>
      <c r="E818" s="3">
        <f t="shared" ca="1" si="25"/>
        <v>0</v>
      </c>
    </row>
    <row r="819" spans="4:5" ht="18.75" x14ac:dyDescent="0.3">
      <c r="D819" s="3">
        <f t="shared" ca="1" si="24"/>
        <v>140.18202486114467</v>
      </c>
      <c r="E819" s="3">
        <f t="shared" ca="1" si="25"/>
        <v>40.182024861144669</v>
      </c>
    </row>
    <row r="820" spans="4:5" ht="18.75" x14ac:dyDescent="0.3">
      <c r="D820" s="3">
        <f t="shared" ca="1" si="24"/>
        <v>136.08598012432802</v>
      </c>
      <c r="E820" s="3">
        <f t="shared" ca="1" si="25"/>
        <v>36.085980124328017</v>
      </c>
    </row>
    <row r="821" spans="4:5" ht="18.75" x14ac:dyDescent="0.3">
      <c r="D821" s="3">
        <f t="shared" ca="1" si="24"/>
        <v>91.2834741292111</v>
      </c>
      <c r="E821" s="3">
        <f t="shared" ca="1" si="25"/>
        <v>0</v>
      </c>
    </row>
    <row r="822" spans="4:5" ht="18.75" x14ac:dyDescent="0.3">
      <c r="D822" s="3">
        <f t="shared" ca="1" si="24"/>
        <v>83.158414174724385</v>
      </c>
      <c r="E822" s="3">
        <f t="shared" ca="1" si="25"/>
        <v>0</v>
      </c>
    </row>
    <row r="823" spans="4:5" ht="18.75" x14ac:dyDescent="0.3">
      <c r="D823" s="3">
        <f t="shared" ca="1" si="24"/>
        <v>146.74214941730875</v>
      </c>
      <c r="E823" s="3">
        <f t="shared" ca="1" si="25"/>
        <v>46.742149417308752</v>
      </c>
    </row>
    <row r="824" spans="4:5" ht="18.75" x14ac:dyDescent="0.3">
      <c r="D824" s="3">
        <f t="shared" ca="1" si="24"/>
        <v>124.72451304909546</v>
      </c>
      <c r="E824" s="3">
        <f t="shared" ca="1" si="25"/>
        <v>24.724513049095464</v>
      </c>
    </row>
    <row r="825" spans="4:5" ht="18.75" x14ac:dyDescent="0.3">
      <c r="D825" s="3">
        <f t="shared" ca="1" si="24"/>
        <v>182.58667948185106</v>
      </c>
      <c r="E825" s="3">
        <f t="shared" ca="1" si="25"/>
        <v>82.586679481851064</v>
      </c>
    </row>
    <row r="826" spans="4:5" ht="18.75" x14ac:dyDescent="0.3">
      <c r="D826" s="3">
        <f t="shared" ca="1" si="24"/>
        <v>151.52884024433428</v>
      </c>
      <c r="E826" s="3">
        <f t="shared" ca="1" si="25"/>
        <v>51.528840244334276</v>
      </c>
    </row>
    <row r="827" spans="4:5" ht="18.75" x14ac:dyDescent="0.3">
      <c r="D827" s="3">
        <f t="shared" ca="1" si="24"/>
        <v>152.38142008134386</v>
      </c>
      <c r="E827" s="3">
        <f t="shared" ca="1" si="25"/>
        <v>52.381420081343862</v>
      </c>
    </row>
    <row r="828" spans="4:5" ht="18.75" x14ac:dyDescent="0.3">
      <c r="D828" s="3">
        <f t="shared" ca="1" si="24"/>
        <v>190.31989920787046</v>
      </c>
      <c r="E828" s="3">
        <f t="shared" ca="1" si="25"/>
        <v>90.319899207870463</v>
      </c>
    </row>
    <row r="829" spans="4:5" ht="18.75" x14ac:dyDescent="0.3">
      <c r="D829" s="3">
        <f t="shared" ca="1" si="24"/>
        <v>104.13182335373456</v>
      </c>
      <c r="E829" s="3">
        <f t="shared" ca="1" si="25"/>
        <v>4.1318233537345606</v>
      </c>
    </row>
    <row r="830" spans="4:5" ht="18.75" x14ac:dyDescent="0.3">
      <c r="D830" s="3">
        <f t="shared" ca="1" si="24"/>
        <v>101.80117852012116</v>
      </c>
      <c r="E830" s="3">
        <f t="shared" ca="1" si="25"/>
        <v>1.8011785201211552</v>
      </c>
    </row>
    <row r="831" spans="4:5" ht="18.75" x14ac:dyDescent="0.3">
      <c r="D831" s="3">
        <f t="shared" ca="1" si="24"/>
        <v>107.9891448517434</v>
      </c>
      <c r="E831" s="3">
        <f t="shared" ca="1" si="25"/>
        <v>7.9891448517434043</v>
      </c>
    </row>
    <row r="832" spans="4:5" ht="18.75" x14ac:dyDescent="0.3">
      <c r="D832" s="3">
        <f t="shared" ca="1" si="24"/>
        <v>111.86228330087631</v>
      </c>
      <c r="E832" s="3">
        <f t="shared" ca="1" si="25"/>
        <v>11.862283300876314</v>
      </c>
    </row>
    <row r="833" spans="4:5" ht="18.75" x14ac:dyDescent="0.3">
      <c r="D833" s="3">
        <f t="shared" ca="1" si="24"/>
        <v>129.52182838320158</v>
      </c>
      <c r="E833" s="3">
        <f t="shared" ca="1" si="25"/>
        <v>29.52182838320158</v>
      </c>
    </row>
    <row r="834" spans="4:5" ht="18.75" x14ac:dyDescent="0.3">
      <c r="D834" s="3">
        <f t="shared" ca="1" si="24"/>
        <v>236.61049388389674</v>
      </c>
      <c r="E834" s="3">
        <f t="shared" ca="1" si="25"/>
        <v>136.61049388389674</v>
      </c>
    </row>
    <row r="835" spans="4:5" ht="18.75" x14ac:dyDescent="0.3">
      <c r="D835" s="3">
        <f t="shared" ref="D835:D898" ca="1" si="26">$B$4*EXP(($B$7-$B$8*$B$8*0.5)*$B$6+$B$8*SQRT($B$6)*_xlfn.NORM.S.INV(RAND()))</f>
        <v>61.843634012750449</v>
      </c>
      <c r="E835" s="3">
        <f t="shared" ref="E835:E898" ca="1" si="27">IF($B$3="call",MAX(D835-$B$5,0),MAX($B$5-D835,0))</f>
        <v>0</v>
      </c>
    </row>
    <row r="836" spans="4:5" ht="18.75" x14ac:dyDescent="0.3">
      <c r="D836" s="3">
        <f t="shared" ca="1" si="26"/>
        <v>93.007545718538083</v>
      </c>
      <c r="E836" s="3">
        <f t="shared" ca="1" si="27"/>
        <v>0</v>
      </c>
    </row>
    <row r="837" spans="4:5" ht="18.75" x14ac:dyDescent="0.3">
      <c r="D837" s="3">
        <f t="shared" ca="1" si="26"/>
        <v>153.68568867545801</v>
      </c>
      <c r="E837" s="3">
        <f t="shared" ca="1" si="27"/>
        <v>53.68568867545801</v>
      </c>
    </row>
    <row r="838" spans="4:5" ht="18.75" x14ac:dyDescent="0.3">
      <c r="D838" s="3">
        <f t="shared" ca="1" si="26"/>
        <v>77.812202882402502</v>
      </c>
      <c r="E838" s="3">
        <f t="shared" ca="1" si="27"/>
        <v>0</v>
      </c>
    </row>
    <row r="839" spans="4:5" ht="18.75" x14ac:dyDescent="0.3">
      <c r="D839" s="3">
        <f t="shared" ca="1" si="26"/>
        <v>103.40434482037703</v>
      </c>
      <c r="E839" s="3">
        <f t="shared" ca="1" si="27"/>
        <v>3.4043448203770339</v>
      </c>
    </row>
    <row r="840" spans="4:5" ht="18.75" x14ac:dyDescent="0.3">
      <c r="D840" s="3">
        <f t="shared" ca="1" si="26"/>
        <v>86.922249718918891</v>
      </c>
      <c r="E840" s="3">
        <f t="shared" ca="1" si="27"/>
        <v>0</v>
      </c>
    </row>
    <row r="841" spans="4:5" ht="18.75" x14ac:dyDescent="0.3">
      <c r="D841" s="3">
        <f t="shared" ca="1" si="26"/>
        <v>154.66019694041745</v>
      </c>
      <c r="E841" s="3">
        <f t="shared" ca="1" si="27"/>
        <v>54.66019694041745</v>
      </c>
    </row>
    <row r="842" spans="4:5" ht="18.75" x14ac:dyDescent="0.3">
      <c r="D842" s="3">
        <f t="shared" ca="1" si="26"/>
        <v>96.19788970612781</v>
      </c>
      <c r="E842" s="3">
        <f t="shared" ca="1" si="27"/>
        <v>0</v>
      </c>
    </row>
    <row r="843" spans="4:5" ht="18.75" x14ac:dyDescent="0.3">
      <c r="D843" s="3">
        <f t="shared" ca="1" si="26"/>
        <v>120.23564305418304</v>
      </c>
      <c r="E843" s="3">
        <f t="shared" ca="1" si="27"/>
        <v>20.235643054183043</v>
      </c>
    </row>
    <row r="844" spans="4:5" ht="18.75" x14ac:dyDescent="0.3">
      <c r="D844" s="3">
        <f t="shared" ca="1" si="26"/>
        <v>116.87079244181879</v>
      </c>
      <c r="E844" s="3">
        <f t="shared" ca="1" si="27"/>
        <v>16.870792441818793</v>
      </c>
    </row>
    <row r="845" spans="4:5" ht="18.75" x14ac:dyDescent="0.3">
      <c r="D845" s="3">
        <f t="shared" ca="1" si="26"/>
        <v>143.96053894171283</v>
      </c>
      <c r="E845" s="3">
        <f t="shared" ca="1" si="27"/>
        <v>43.960538941712826</v>
      </c>
    </row>
    <row r="846" spans="4:5" ht="18.75" x14ac:dyDescent="0.3">
      <c r="D846" s="3">
        <f t="shared" ca="1" si="26"/>
        <v>153.22188708754359</v>
      </c>
      <c r="E846" s="3">
        <f t="shared" ca="1" si="27"/>
        <v>53.221887087543593</v>
      </c>
    </row>
    <row r="847" spans="4:5" ht="18.75" x14ac:dyDescent="0.3">
      <c r="D847" s="3">
        <f t="shared" ca="1" si="26"/>
        <v>90.416614504615083</v>
      </c>
      <c r="E847" s="3">
        <f t="shared" ca="1" si="27"/>
        <v>0</v>
      </c>
    </row>
    <row r="848" spans="4:5" ht="18.75" x14ac:dyDescent="0.3">
      <c r="D848" s="3">
        <f t="shared" ca="1" si="26"/>
        <v>91.117985708715338</v>
      </c>
      <c r="E848" s="3">
        <f t="shared" ca="1" si="27"/>
        <v>0</v>
      </c>
    </row>
    <row r="849" spans="4:5" ht="18.75" x14ac:dyDescent="0.3">
      <c r="D849" s="3">
        <f t="shared" ca="1" si="26"/>
        <v>116.48063584088364</v>
      </c>
      <c r="E849" s="3">
        <f t="shared" ca="1" si="27"/>
        <v>16.480635840883636</v>
      </c>
    </row>
    <row r="850" spans="4:5" ht="18.75" x14ac:dyDescent="0.3">
      <c r="D850" s="3">
        <f t="shared" ca="1" si="26"/>
        <v>158.992343841913</v>
      </c>
      <c r="E850" s="3">
        <f t="shared" ca="1" si="27"/>
        <v>58.992343841912998</v>
      </c>
    </row>
    <row r="851" spans="4:5" ht="18.75" x14ac:dyDescent="0.3">
      <c r="D851" s="3">
        <f t="shared" ca="1" si="26"/>
        <v>117.25727773130615</v>
      </c>
      <c r="E851" s="3">
        <f t="shared" ca="1" si="27"/>
        <v>17.257277731306147</v>
      </c>
    </row>
    <row r="852" spans="4:5" ht="18.75" x14ac:dyDescent="0.3">
      <c r="D852" s="3">
        <f t="shared" ca="1" si="26"/>
        <v>98.817004135720893</v>
      </c>
      <c r="E852" s="3">
        <f t="shared" ca="1" si="27"/>
        <v>0</v>
      </c>
    </row>
    <row r="853" spans="4:5" ht="18.75" x14ac:dyDescent="0.3">
      <c r="D853" s="3">
        <f t="shared" ca="1" si="26"/>
        <v>147.78789825847724</v>
      </c>
      <c r="E853" s="3">
        <f t="shared" ca="1" si="27"/>
        <v>47.787898258477242</v>
      </c>
    </row>
    <row r="854" spans="4:5" ht="18.75" x14ac:dyDescent="0.3">
      <c r="D854" s="3">
        <f t="shared" ca="1" si="26"/>
        <v>97.783887164572889</v>
      </c>
      <c r="E854" s="3">
        <f t="shared" ca="1" si="27"/>
        <v>0</v>
      </c>
    </row>
    <row r="855" spans="4:5" ht="18.75" x14ac:dyDescent="0.3">
      <c r="D855" s="3">
        <f t="shared" ca="1" si="26"/>
        <v>89.217685986763399</v>
      </c>
      <c r="E855" s="3">
        <f t="shared" ca="1" si="27"/>
        <v>0</v>
      </c>
    </row>
    <row r="856" spans="4:5" ht="18.75" x14ac:dyDescent="0.3">
      <c r="D856" s="3">
        <f t="shared" ca="1" si="26"/>
        <v>122.66942689541108</v>
      </c>
      <c r="E856" s="3">
        <f t="shared" ca="1" si="27"/>
        <v>22.669426895411078</v>
      </c>
    </row>
    <row r="857" spans="4:5" ht="18.75" x14ac:dyDescent="0.3">
      <c r="D857" s="3">
        <f t="shared" ca="1" si="26"/>
        <v>88.497320778774608</v>
      </c>
      <c r="E857" s="3">
        <f t="shared" ca="1" si="27"/>
        <v>0</v>
      </c>
    </row>
    <row r="858" spans="4:5" ht="18.75" x14ac:dyDescent="0.3">
      <c r="D858" s="3">
        <f t="shared" ca="1" si="26"/>
        <v>135.77235819458448</v>
      </c>
      <c r="E858" s="3">
        <f t="shared" ca="1" si="27"/>
        <v>35.772358194584484</v>
      </c>
    </row>
    <row r="859" spans="4:5" ht="18.75" x14ac:dyDescent="0.3">
      <c r="D859" s="3">
        <f t="shared" ca="1" si="26"/>
        <v>104.12596291804186</v>
      </c>
      <c r="E859" s="3">
        <f t="shared" ca="1" si="27"/>
        <v>4.1259629180418642</v>
      </c>
    </row>
    <row r="860" spans="4:5" ht="18.75" x14ac:dyDescent="0.3">
      <c r="D860" s="3">
        <f t="shared" ca="1" si="26"/>
        <v>158.9696441493831</v>
      </c>
      <c r="E860" s="3">
        <f t="shared" ca="1" si="27"/>
        <v>58.9696441493831</v>
      </c>
    </row>
    <row r="861" spans="4:5" ht="18.75" x14ac:dyDescent="0.3">
      <c r="D861" s="3">
        <f t="shared" ca="1" si="26"/>
        <v>74.621291985606803</v>
      </c>
      <c r="E861" s="3">
        <f t="shared" ca="1" si="27"/>
        <v>0</v>
      </c>
    </row>
    <row r="862" spans="4:5" ht="18.75" x14ac:dyDescent="0.3">
      <c r="D862" s="3">
        <f t="shared" ca="1" si="26"/>
        <v>83.289442002519351</v>
      </c>
      <c r="E862" s="3">
        <f t="shared" ca="1" si="27"/>
        <v>0</v>
      </c>
    </row>
    <row r="863" spans="4:5" ht="18.75" x14ac:dyDescent="0.3">
      <c r="D863" s="3">
        <f t="shared" ca="1" si="26"/>
        <v>100.9742666318058</v>
      </c>
      <c r="E863" s="3">
        <f t="shared" ca="1" si="27"/>
        <v>0.9742666318058042</v>
      </c>
    </row>
    <row r="864" spans="4:5" ht="18.75" x14ac:dyDescent="0.3">
      <c r="D864" s="3">
        <f t="shared" ca="1" si="26"/>
        <v>152.75010409679285</v>
      </c>
      <c r="E864" s="3">
        <f t="shared" ca="1" si="27"/>
        <v>52.750104096792853</v>
      </c>
    </row>
    <row r="865" spans="4:5" ht="18.75" x14ac:dyDescent="0.3">
      <c r="D865" s="3">
        <f t="shared" ca="1" si="26"/>
        <v>165.55576482912537</v>
      </c>
      <c r="E865" s="3">
        <f t="shared" ca="1" si="27"/>
        <v>65.555764829125366</v>
      </c>
    </row>
    <row r="866" spans="4:5" ht="18.75" x14ac:dyDescent="0.3">
      <c r="D866" s="3">
        <f t="shared" ca="1" si="26"/>
        <v>187.91419985737926</v>
      </c>
      <c r="E866" s="3">
        <f t="shared" ca="1" si="27"/>
        <v>87.914199857379259</v>
      </c>
    </row>
    <row r="867" spans="4:5" ht="18.75" x14ac:dyDescent="0.3">
      <c r="D867" s="3">
        <f t="shared" ca="1" si="26"/>
        <v>96.369861804022449</v>
      </c>
      <c r="E867" s="3">
        <f t="shared" ca="1" si="27"/>
        <v>0</v>
      </c>
    </row>
    <row r="868" spans="4:5" ht="18.75" x14ac:dyDescent="0.3">
      <c r="D868" s="3">
        <f t="shared" ca="1" si="26"/>
        <v>121.41007646666873</v>
      </c>
      <c r="E868" s="3">
        <f t="shared" ca="1" si="27"/>
        <v>21.410076466668727</v>
      </c>
    </row>
    <row r="869" spans="4:5" ht="18.75" x14ac:dyDescent="0.3">
      <c r="D869" s="3">
        <f t="shared" ca="1" si="26"/>
        <v>184.78456645078387</v>
      </c>
      <c r="E869" s="3">
        <f t="shared" ca="1" si="27"/>
        <v>84.784566450783871</v>
      </c>
    </row>
    <row r="870" spans="4:5" ht="18.75" x14ac:dyDescent="0.3">
      <c r="D870" s="3">
        <f t="shared" ca="1" si="26"/>
        <v>113.44206633304728</v>
      </c>
      <c r="E870" s="3">
        <f t="shared" ca="1" si="27"/>
        <v>13.442066333047279</v>
      </c>
    </row>
    <row r="871" spans="4:5" ht="18.75" x14ac:dyDescent="0.3">
      <c r="D871" s="3">
        <f t="shared" ca="1" si="26"/>
        <v>136.26696475576173</v>
      </c>
      <c r="E871" s="3">
        <f t="shared" ca="1" si="27"/>
        <v>36.266964755761734</v>
      </c>
    </row>
    <row r="872" spans="4:5" ht="18.75" x14ac:dyDescent="0.3">
      <c r="D872" s="3">
        <f t="shared" ca="1" si="26"/>
        <v>85.856812332644111</v>
      </c>
      <c r="E872" s="3">
        <f t="shared" ca="1" si="27"/>
        <v>0</v>
      </c>
    </row>
    <row r="873" spans="4:5" ht="18.75" x14ac:dyDescent="0.3">
      <c r="D873" s="3">
        <f t="shared" ca="1" si="26"/>
        <v>93.573328855742062</v>
      </c>
      <c r="E873" s="3">
        <f t="shared" ca="1" si="27"/>
        <v>0</v>
      </c>
    </row>
    <row r="874" spans="4:5" ht="18.75" x14ac:dyDescent="0.3">
      <c r="D874" s="3">
        <f t="shared" ca="1" si="26"/>
        <v>98.583223884088824</v>
      </c>
      <c r="E874" s="3">
        <f t="shared" ca="1" si="27"/>
        <v>0</v>
      </c>
    </row>
    <row r="875" spans="4:5" ht="18.75" x14ac:dyDescent="0.3">
      <c r="D875" s="3">
        <f t="shared" ca="1" si="26"/>
        <v>95.786780372658242</v>
      </c>
      <c r="E875" s="3">
        <f t="shared" ca="1" si="27"/>
        <v>0</v>
      </c>
    </row>
    <row r="876" spans="4:5" ht="18.75" x14ac:dyDescent="0.3">
      <c r="D876" s="3">
        <f t="shared" ca="1" si="26"/>
        <v>106.61484237228365</v>
      </c>
      <c r="E876" s="3">
        <f t="shared" ca="1" si="27"/>
        <v>6.6148423722836469</v>
      </c>
    </row>
    <row r="877" spans="4:5" ht="18.75" x14ac:dyDescent="0.3">
      <c r="D877" s="3">
        <f t="shared" ca="1" si="26"/>
        <v>107.23526221444328</v>
      </c>
      <c r="E877" s="3">
        <f t="shared" ca="1" si="27"/>
        <v>7.2352622144432814</v>
      </c>
    </row>
    <row r="878" spans="4:5" ht="18.75" x14ac:dyDescent="0.3">
      <c r="D878" s="3">
        <f t="shared" ca="1" si="26"/>
        <v>153.64890513985821</v>
      </c>
      <c r="E878" s="3">
        <f t="shared" ca="1" si="27"/>
        <v>53.648905139858215</v>
      </c>
    </row>
    <row r="879" spans="4:5" ht="18.75" x14ac:dyDescent="0.3">
      <c r="D879" s="3">
        <f t="shared" ca="1" si="26"/>
        <v>104.47967855341021</v>
      </c>
      <c r="E879" s="3">
        <f t="shared" ca="1" si="27"/>
        <v>4.4796785534102099</v>
      </c>
    </row>
    <row r="880" spans="4:5" ht="18.75" x14ac:dyDescent="0.3">
      <c r="D880" s="3">
        <f t="shared" ca="1" si="26"/>
        <v>93.100998385970726</v>
      </c>
      <c r="E880" s="3">
        <f t="shared" ca="1" si="27"/>
        <v>0</v>
      </c>
    </row>
    <row r="881" spans="4:5" ht="18.75" x14ac:dyDescent="0.3">
      <c r="D881" s="3">
        <f t="shared" ca="1" si="26"/>
        <v>129.45314466827747</v>
      </c>
      <c r="E881" s="3">
        <f t="shared" ca="1" si="27"/>
        <v>29.453144668277474</v>
      </c>
    </row>
    <row r="882" spans="4:5" ht="18.75" x14ac:dyDescent="0.3">
      <c r="D882" s="3">
        <f t="shared" ca="1" si="26"/>
        <v>103.14365817128686</v>
      </c>
      <c r="E882" s="3">
        <f t="shared" ca="1" si="27"/>
        <v>3.1436581712868588</v>
      </c>
    </row>
    <row r="883" spans="4:5" ht="18.75" x14ac:dyDescent="0.3">
      <c r="D883" s="3">
        <f t="shared" ca="1" si="26"/>
        <v>112.37318662102969</v>
      </c>
      <c r="E883" s="3">
        <f t="shared" ca="1" si="27"/>
        <v>12.373186621029689</v>
      </c>
    </row>
    <row r="884" spans="4:5" ht="18.75" x14ac:dyDescent="0.3">
      <c r="D884" s="3">
        <f t="shared" ca="1" si="26"/>
        <v>134.70876967681184</v>
      </c>
      <c r="E884" s="3">
        <f t="shared" ca="1" si="27"/>
        <v>34.708769676811841</v>
      </c>
    </row>
    <row r="885" spans="4:5" ht="18.75" x14ac:dyDescent="0.3">
      <c r="D885" s="3">
        <f t="shared" ca="1" si="26"/>
        <v>100.14523873881203</v>
      </c>
      <c r="E885" s="3">
        <f t="shared" ca="1" si="27"/>
        <v>0.14523873881202576</v>
      </c>
    </row>
    <row r="886" spans="4:5" ht="18.75" x14ac:dyDescent="0.3">
      <c r="D886" s="3">
        <f t="shared" ca="1" si="26"/>
        <v>131.03103041604854</v>
      </c>
      <c r="E886" s="3">
        <f t="shared" ca="1" si="27"/>
        <v>31.031030416048537</v>
      </c>
    </row>
    <row r="887" spans="4:5" ht="18.75" x14ac:dyDescent="0.3">
      <c r="D887" s="3">
        <f t="shared" ca="1" si="26"/>
        <v>94.729740308513669</v>
      </c>
      <c r="E887" s="3">
        <f t="shared" ca="1" si="27"/>
        <v>0</v>
      </c>
    </row>
    <row r="888" spans="4:5" ht="18.75" x14ac:dyDescent="0.3">
      <c r="D888" s="3">
        <f t="shared" ca="1" si="26"/>
        <v>191.59410184965702</v>
      </c>
      <c r="E888" s="3">
        <f t="shared" ca="1" si="27"/>
        <v>91.594101849657022</v>
      </c>
    </row>
    <row r="889" spans="4:5" ht="18.75" x14ac:dyDescent="0.3">
      <c r="D889" s="3">
        <f t="shared" ca="1" si="26"/>
        <v>132.75773923352986</v>
      </c>
      <c r="E889" s="3">
        <f t="shared" ca="1" si="27"/>
        <v>32.757739233529861</v>
      </c>
    </row>
    <row r="890" spans="4:5" ht="18.75" x14ac:dyDescent="0.3">
      <c r="D890" s="3">
        <f t="shared" ca="1" si="26"/>
        <v>219.48140166726574</v>
      </c>
      <c r="E890" s="3">
        <f t="shared" ca="1" si="27"/>
        <v>119.48140166726574</v>
      </c>
    </row>
    <row r="891" spans="4:5" ht="18.75" x14ac:dyDescent="0.3">
      <c r="D891" s="3">
        <f t="shared" ca="1" si="26"/>
        <v>112.90413008553088</v>
      </c>
      <c r="E891" s="3">
        <f t="shared" ca="1" si="27"/>
        <v>12.90413008553088</v>
      </c>
    </row>
    <row r="892" spans="4:5" ht="18.75" x14ac:dyDescent="0.3">
      <c r="D892" s="3">
        <f t="shared" ca="1" si="26"/>
        <v>114.6242406250592</v>
      </c>
      <c r="E892" s="3">
        <f t="shared" ca="1" si="27"/>
        <v>14.624240625059201</v>
      </c>
    </row>
    <row r="893" spans="4:5" ht="18.75" x14ac:dyDescent="0.3">
      <c r="D893" s="3">
        <f t="shared" ca="1" si="26"/>
        <v>99.360579519351475</v>
      </c>
      <c r="E893" s="3">
        <f t="shared" ca="1" si="27"/>
        <v>0</v>
      </c>
    </row>
    <row r="894" spans="4:5" ht="18.75" x14ac:dyDescent="0.3">
      <c r="D894" s="3">
        <f t="shared" ca="1" si="26"/>
        <v>151.32559770157712</v>
      </c>
      <c r="E894" s="3">
        <f t="shared" ca="1" si="27"/>
        <v>51.325597701577124</v>
      </c>
    </row>
    <row r="895" spans="4:5" ht="18.75" x14ac:dyDescent="0.3">
      <c r="D895" s="3">
        <f t="shared" ca="1" si="26"/>
        <v>239.27930955299038</v>
      </c>
      <c r="E895" s="3">
        <f t="shared" ca="1" si="27"/>
        <v>139.27930955299038</v>
      </c>
    </row>
    <row r="896" spans="4:5" ht="18.75" x14ac:dyDescent="0.3">
      <c r="D896" s="3">
        <f t="shared" ca="1" si="26"/>
        <v>127.96672132911004</v>
      </c>
      <c r="E896" s="3">
        <f t="shared" ca="1" si="27"/>
        <v>27.966721329110044</v>
      </c>
    </row>
    <row r="897" spans="4:5" ht="18.75" x14ac:dyDescent="0.3">
      <c r="D897" s="3">
        <f t="shared" ca="1" si="26"/>
        <v>155.98999340016607</v>
      </c>
      <c r="E897" s="3">
        <f t="shared" ca="1" si="27"/>
        <v>55.989993400166071</v>
      </c>
    </row>
    <row r="898" spans="4:5" ht="18.75" x14ac:dyDescent="0.3">
      <c r="D898" s="3">
        <f t="shared" ca="1" si="26"/>
        <v>152.41703969254078</v>
      </c>
      <c r="E898" s="3">
        <f t="shared" ca="1" si="27"/>
        <v>52.417039692540783</v>
      </c>
    </row>
    <row r="899" spans="4:5" ht="18.75" x14ac:dyDescent="0.3">
      <c r="D899" s="3">
        <f t="shared" ref="D899:D962" ca="1" si="28">$B$4*EXP(($B$7-$B$8*$B$8*0.5)*$B$6+$B$8*SQRT($B$6)*_xlfn.NORM.S.INV(RAND()))</f>
        <v>118.29606446942347</v>
      </c>
      <c r="E899" s="3">
        <f t="shared" ref="E899:E962" ca="1" si="29">IF($B$3="call",MAX(D899-$B$5,0),MAX($B$5-D899,0))</f>
        <v>18.29606446942347</v>
      </c>
    </row>
    <row r="900" spans="4:5" ht="18.75" x14ac:dyDescent="0.3">
      <c r="D900" s="3">
        <f t="shared" ca="1" si="28"/>
        <v>111.52645073262109</v>
      </c>
      <c r="E900" s="3">
        <f t="shared" ca="1" si="29"/>
        <v>11.526450732621086</v>
      </c>
    </row>
    <row r="901" spans="4:5" ht="18.75" x14ac:dyDescent="0.3">
      <c r="D901" s="3">
        <f t="shared" ca="1" si="28"/>
        <v>148.3000846193253</v>
      </c>
      <c r="E901" s="3">
        <f t="shared" ca="1" si="29"/>
        <v>48.300084619325304</v>
      </c>
    </row>
    <row r="902" spans="4:5" ht="18.75" x14ac:dyDescent="0.3">
      <c r="D902" s="3">
        <f t="shared" ca="1" si="28"/>
        <v>148.89568081641977</v>
      </c>
      <c r="E902" s="3">
        <f t="shared" ca="1" si="29"/>
        <v>48.89568081641977</v>
      </c>
    </row>
    <row r="903" spans="4:5" ht="18.75" x14ac:dyDescent="0.3">
      <c r="D903" s="3">
        <f t="shared" ca="1" si="28"/>
        <v>76.077576908682914</v>
      </c>
      <c r="E903" s="3">
        <f t="shared" ca="1" si="29"/>
        <v>0</v>
      </c>
    </row>
    <row r="904" spans="4:5" ht="18.75" x14ac:dyDescent="0.3">
      <c r="D904" s="3">
        <f t="shared" ca="1" si="28"/>
        <v>210.0872734595938</v>
      </c>
      <c r="E904" s="3">
        <f t="shared" ca="1" si="29"/>
        <v>110.0872734595938</v>
      </c>
    </row>
    <row r="905" spans="4:5" ht="18.75" x14ac:dyDescent="0.3">
      <c r="D905" s="3">
        <f t="shared" ca="1" si="28"/>
        <v>91.749592806712897</v>
      </c>
      <c r="E905" s="3">
        <f t="shared" ca="1" si="29"/>
        <v>0</v>
      </c>
    </row>
    <row r="906" spans="4:5" ht="18.75" x14ac:dyDescent="0.3">
      <c r="D906" s="3">
        <f t="shared" ca="1" si="28"/>
        <v>132.53541806726787</v>
      </c>
      <c r="E906" s="3">
        <f t="shared" ca="1" si="29"/>
        <v>32.535418067267869</v>
      </c>
    </row>
    <row r="907" spans="4:5" ht="18.75" x14ac:dyDescent="0.3">
      <c r="D907" s="3">
        <f t="shared" ca="1" si="28"/>
        <v>88.182253270693906</v>
      </c>
      <c r="E907" s="3">
        <f t="shared" ca="1" si="29"/>
        <v>0</v>
      </c>
    </row>
    <row r="908" spans="4:5" ht="18.75" x14ac:dyDescent="0.3">
      <c r="D908" s="3">
        <f t="shared" ca="1" si="28"/>
        <v>104.18287318329291</v>
      </c>
      <c r="E908" s="3">
        <f t="shared" ca="1" si="29"/>
        <v>4.1828731832929122</v>
      </c>
    </row>
    <row r="909" spans="4:5" ht="18.75" x14ac:dyDescent="0.3">
      <c r="D909" s="3">
        <f t="shared" ca="1" si="28"/>
        <v>127.93744621914476</v>
      </c>
      <c r="E909" s="3">
        <f t="shared" ca="1" si="29"/>
        <v>27.937446219144761</v>
      </c>
    </row>
    <row r="910" spans="4:5" ht="18.75" x14ac:dyDescent="0.3">
      <c r="D910" s="3">
        <f t="shared" ca="1" si="28"/>
        <v>112.8647680491752</v>
      </c>
      <c r="E910" s="3">
        <f t="shared" ca="1" si="29"/>
        <v>12.864768049175197</v>
      </c>
    </row>
    <row r="911" spans="4:5" ht="18.75" x14ac:dyDescent="0.3">
      <c r="D911" s="3">
        <f t="shared" ca="1" si="28"/>
        <v>123.81794359934848</v>
      </c>
      <c r="E911" s="3">
        <f t="shared" ca="1" si="29"/>
        <v>23.817943599348482</v>
      </c>
    </row>
    <row r="912" spans="4:5" ht="18.75" x14ac:dyDescent="0.3">
      <c r="D912" s="3">
        <f t="shared" ca="1" si="28"/>
        <v>105.65263399826237</v>
      </c>
      <c r="E912" s="3">
        <f t="shared" ca="1" si="29"/>
        <v>5.6526339982623739</v>
      </c>
    </row>
    <row r="913" spans="4:5" ht="18.75" x14ac:dyDescent="0.3">
      <c r="D913" s="3">
        <f t="shared" ca="1" si="28"/>
        <v>100.91497481053307</v>
      </c>
      <c r="E913" s="3">
        <f t="shared" ca="1" si="29"/>
        <v>0.91497481053306728</v>
      </c>
    </row>
    <row r="914" spans="4:5" ht="18.75" x14ac:dyDescent="0.3">
      <c r="D914" s="3">
        <f t="shared" ca="1" si="28"/>
        <v>106.59686857439752</v>
      </c>
      <c r="E914" s="3">
        <f t="shared" ca="1" si="29"/>
        <v>6.5968685743975186</v>
      </c>
    </row>
    <row r="915" spans="4:5" ht="18.75" x14ac:dyDescent="0.3">
      <c r="D915" s="3">
        <f t="shared" ca="1" si="28"/>
        <v>76.862181073746527</v>
      </c>
      <c r="E915" s="3">
        <f t="shared" ca="1" si="29"/>
        <v>0</v>
      </c>
    </row>
    <row r="916" spans="4:5" ht="18.75" x14ac:dyDescent="0.3">
      <c r="D916" s="3">
        <f t="shared" ca="1" si="28"/>
        <v>103.75521214792145</v>
      </c>
      <c r="E916" s="3">
        <f t="shared" ca="1" si="29"/>
        <v>3.7552121479214549</v>
      </c>
    </row>
    <row r="917" spans="4:5" ht="18.75" x14ac:dyDescent="0.3">
      <c r="D917" s="3">
        <f t="shared" ca="1" si="28"/>
        <v>178.02661424499439</v>
      </c>
      <c r="E917" s="3">
        <f t="shared" ca="1" si="29"/>
        <v>78.026614244994391</v>
      </c>
    </row>
    <row r="918" spans="4:5" ht="18.75" x14ac:dyDescent="0.3">
      <c r="D918" s="3">
        <f t="shared" ca="1" si="28"/>
        <v>110.91513575575904</v>
      </c>
      <c r="E918" s="3">
        <f t="shared" ca="1" si="29"/>
        <v>10.915135755759039</v>
      </c>
    </row>
    <row r="919" spans="4:5" ht="18.75" x14ac:dyDescent="0.3">
      <c r="D919" s="3">
        <f t="shared" ca="1" si="28"/>
        <v>105.1631931997014</v>
      </c>
      <c r="E919" s="3">
        <f t="shared" ca="1" si="29"/>
        <v>5.1631931997013965</v>
      </c>
    </row>
    <row r="920" spans="4:5" ht="18.75" x14ac:dyDescent="0.3">
      <c r="D920" s="3">
        <f t="shared" ca="1" si="28"/>
        <v>110.1132591244705</v>
      </c>
      <c r="E920" s="3">
        <f t="shared" ca="1" si="29"/>
        <v>10.113259124470503</v>
      </c>
    </row>
    <row r="921" spans="4:5" ht="18.75" x14ac:dyDescent="0.3">
      <c r="D921" s="3">
        <f t="shared" ca="1" si="28"/>
        <v>100.73771728917372</v>
      </c>
      <c r="E921" s="3">
        <f t="shared" ca="1" si="29"/>
        <v>0.73771728917371604</v>
      </c>
    </row>
    <row r="922" spans="4:5" ht="18.75" x14ac:dyDescent="0.3">
      <c r="D922" s="3">
        <f t="shared" ca="1" si="28"/>
        <v>128.32586401509161</v>
      </c>
      <c r="E922" s="3">
        <f t="shared" ca="1" si="29"/>
        <v>28.325864015091611</v>
      </c>
    </row>
    <row r="923" spans="4:5" ht="18.75" x14ac:dyDescent="0.3">
      <c r="D923" s="3">
        <f t="shared" ca="1" si="28"/>
        <v>100.00540963761249</v>
      </c>
      <c r="E923" s="3">
        <f t="shared" ca="1" si="29"/>
        <v>5.4096376124874723E-3</v>
      </c>
    </row>
    <row r="924" spans="4:5" ht="18.75" x14ac:dyDescent="0.3">
      <c r="D924" s="3">
        <f t="shared" ca="1" si="28"/>
        <v>136.06717734726325</v>
      </c>
      <c r="E924" s="3">
        <f t="shared" ca="1" si="29"/>
        <v>36.067177347263254</v>
      </c>
    </row>
    <row r="925" spans="4:5" ht="18.75" x14ac:dyDescent="0.3">
      <c r="D925" s="3">
        <f t="shared" ca="1" si="28"/>
        <v>114.06551348992811</v>
      </c>
      <c r="E925" s="3">
        <f t="shared" ca="1" si="29"/>
        <v>14.065513489928108</v>
      </c>
    </row>
    <row r="926" spans="4:5" ht="18.75" x14ac:dyDescent="0.3">
      <c r="D926" s="3">
        <f t="shared" ca="1" si="28"/>
        <v>101.60886136561335</v>
      </c>
      <c r="E926" s="3">
        <f t="shared" ca="1" si="29"/>
        <v>1.6088613656133504</v>
      </c>
    </row>
    <row r="927" spans="4:5" ht="18.75" x14ac:dyDescent="0.3">
      <c r="D927" s="3">
        <f t="shared" ca="1" si="28"/>
        <v>122.70188210283845</v>
      </c>
      <c r="E927" s="3">
        <f t="shared" ca="1" si="29"/>
        <v>22.701882102838454</v>
      </c>
    </row>
    <row r="928" spans="4:5" ht="18.75" x14ac:dyDescent="0.3">
      <c r="D928" s="3">
        <f t="shared" ca="1" si="28"/>
        <v>76.747672794473871</v>
      </c>
      <c r="E928" s="3">
        <f t="shared" ca="1" si="29"/>
        <v>0</v>
      </c>
    </row>
    <row r="929" spans="4:5" ht="18.75" x14ac:dyDescent="0.3">
      <c r="D929" s="3">
        <f t="shared" ca="1" si="28"/>
        <v>112.42310624003757</v>
      </c>
      <c r="E929" s="3">
        <f t="shared" ca="1" si="29"/>
        <v>12.423106240037569</v>
      </c>
    </row>
    <row r="930" spans="4:5" ht="18.75" x14ac:dyDescent="0.3">
      <c r="D930" s="3">
        <f t="shared" ca="1" si="28"/>
        <v>89.311562808266231</v>
      </c>
      <c r="E930" s="3">
        <f t="shared" ca="1" si="29"/>
        <v>0</v>
      </c>
    </row>
    <row r="931" spans="4:5" ht="18.75" x14ac:dyDescent="0.3">
      <c r="D931" s="3">
        <f t="shared" ca="1" si="28"/>
        <v>120.25584511716154</v>
      </c>
      <c r="E931" s="3">
        <f t="shared" ca="1" si="29"/>
        <v>20.255845117161542</v>
      </c>
    </row>
    <row r="932" spans="4:5" ht="18.75" x14ac:dyDescent="0.3">
      <c r="D932" s="3">
        <f t="shared" ca="1" si="28"/>
        <v>214.83725724260037</v>
      </c>
      <c r="E932" s="3">
        <f t="shared" ca="1" si="29"/>
        <v>114.83725724260037</v>
      </c>
    </row>
    <row r="933" spans="4:5" ht="18.75" x14ac:dyDescent="0.3">
      <c r="D933" s="3">
        <f t="shared" ca="1" si="28"/>
        <v>73.396797510784822</v>
      </c>
      <c r="E933" s="3">
        <f t="shared" ca="1" si="29"/>
        <v>0</v>
      </c>
    </row>
    <row r="934" spans="4:5" ht="18.75" x14ac:dyDescent="0.3">
      <c r="D934" s="3">
        <f t="shared" ca="1" si="28"/>
        <v>235.46957650454149</v>
      </c>
      <c r="E934" s="3">
        <f t="shared" ca="1" si="29"/>
        <v>135.46957650454149</v>
      </c>
    </row>
    <row r="935" spans="4:5" ht="18.75" x14ac:dyDescent="0.3">
      <c r="D935" s="3">
        <f t="shared" ca="1" si="28"/>
        <v>137.41859487445038</v>
      </c>
      <c r="E935" s="3">
        <f t="shared" ca="1" si="29"/>
        <v>37.418594874450378</v>
      </c>
    </row>
    <row r="936" spans="4:5" ht="18.75" x14ac:dyDescent="0.3">
      <c r="D936" s="3">
        <f t="shared" ca="1" si="28"/>
        <v>136.61733704326585</v>
      </c>
      <c r="E936" s="3">
        <f t="shared" ca="1" si="29"/>
        <v>36.617337043265849</v>
      </c>
    </row>
    <row r="937" spans="4:5" ht="18.75" x14ac:dyDescent="0.3">
      <c r="D937" s="3">
        <f t="shared" ca="1" si="28"/>
        <v>162.95859940480381</v>
      </c>
      <c r="E937" s="3">
        <f t="shared" ca="1" si="29"/>
        <v>62.958599404803806</v>
      </c>
    </row>
    <row r="938" spans="4:5" ht="18.75" x14ac:dyDescent="0.3">
      <c r="D938" s="3">
        <f t="shared" ca="1" si="28"/>
        <v>147.96369802075199</v>
      </c>
      <c r="E938" s="3">
        <f t="shared" ca="1" si="29"/>
        <v>47.963698020751991</v>
      </c>
    </row>
    <row r="939" spans="4:5" ht="18.75" x14ac:dyDescent="0.3">
      <c r="D939" s="3">
        <f t="shared" ca="1" si="28"/>
        <v>148.8201900141099</v>
      </c>
      <c r="E939" s="3">
        <f t="shared" ca="1" si="29"/>
        <v>48.820190014109897</v>
      </c>
    </row>
    <row r="940" spans="4:5" ht="18.75" x14ac:dyDescent="0.3">
      <c r="D940" s="3">
        <f t="shared" ca="1" si="28"/>
        <v>79.118132475416843</v>
      </c>
      <c r="E940" s="3">
        <f t="shared" ca="1" si="29"/>
        <v>0</v>
      </c>
    </row>
    <row r="941" spans="4:5" ht="18.75" x14ac:dyDescent="0.3">
      <c r="D941" s="3">
        <f t="shared" ca="1" si="28"/>
        <v>134.47293561963173</v>
      </c>
      <c r="E941" s="3">
        <f t="shared" ca="1" si="29"/>
        <v>34.472935619631727</v>
      </c>
    </row>
    <row r="942" spans="4:5" ht="18.75" x14ac:dyDescent="0.3">
      <c r="D942" s="3">
        <f t="shared" ca="1" si="28"/>
        <v>116.74644678634192</v>
      </c>
      <c r="E942" s="3">
        <f t="shared" ca="1" si="29"/>
        <v>16.74644678634192</v>
      </c>
    </row>
    <row r="943" spans="4:5" ht="18.75" x14ac:dyDescent="0.3">
      <c r="D943" s="3">
        <f t="shared" ca="1" si="28"/>
        <v>124.97296156610595</v>
      </c>
      <c r="E943" s="3">
        <f t="shared" ca="1" si="29"/>
        <v>24.972961566105951</v>
      </c>
    </row>
    <row r="944" spans="4:5" ht="18.75" x14ac:dyDescent="0.3">
      <c r="D944" s="3">
        <f t="shared" ca="1" si="28"/>
        <v>130.01945626601722</v>
      </c>
      <c r="E944" s="3">
        <f t="shared" ca="1" si="29"/>
        <v>30.019456266017215</v>
      </c>
    </row>
    <row r="945" spans="4:5" ht="18.75" x14ac:dyDescent="0.3">
      <c r="D945" s="3">
        <f t="shared" ca="1" si="28"/>
        <v>80.537979945794063</v>
      </c>
      <c r="E945" s="3">
        <f t="shared" ca="1" si="29"/>
        <v>0</v>
      </c>
    </row>
    <row r="946" spans="4:5" ht="18.75" x14ac:dyDescent="0.3">
      <c r="D946" s="3">
        <f t="shared" ca="1" si="28"/>
        <v>135.15328700661451</v>
      </c>
      <c r="E946" s="3">
        <f t="shared" ca="1" si="29"/>
        <v>35.153287006614505</v>
      </c>
    </row>
    <row r="947" spans="4:5" ht="18.75" x14ac:dyDescent="0.3">
      <c r="D947" s="3">
        <f t="shared" ca="1" si="28"/>
        <v>106.07768980311654</v>
      </c>
      <c r="E947" s="3">
        <f t="shared" ca="1" si="29"/>
        <v>6.0776898031165416</v>
      </c>
    </row>
    <row r="948" spans="4:5" ht="18.75" x14ac:dyDescent="0.3">
      <c r="D948" s="3">
        <f t="shared" ca="1" si="28"/>
        <v>102.3686194455603</v>
      </c>
      <c r="E948" s="3">
        <f t="shared" ca="1" si="29"/>
        <v>2.3686194455602987</v>
      </c>
    </row>
    <row r="949" spans="4:5" ht="18.75" x14ac:dyDescent="0.3">
      <c r="D949" s="3">
        <f t="shared" ca="1" si="28"/>
        <v>107.36083748561221</v>
      </c>
      <c r="E949" s="3">
        <f t="shared" ca="1" si="29"/>
        <v>7.3608374856122083</v>
      </c>
    </row>
    <row r="950" spans="4:5" ht="18.75" x14ac:dyDescent="0.3">
      <c r="D950" s="3">
        <f t="shared" ca="1" si="28"/>
        <v>77.818499331392175</v>
      </c>
      <c r="E950" s="3">
        <f t="shared" ca="1" si="29"/>
        <v>0</v>
      </c>
    </row>
    <row r="951" spans="4:5" ht="18.75" x14ac:dyDescent="0.3">
      <c r="D951" s="3">
        <f t="shared" ca="1" si="28"/>
        <v>88.758953566299809</v>
      </c>
      <c r="E951" s="3">
        <f t="shared" ca="1" si="29"/>
        <v>0</v>
      </c>
    </row>
    <row r="952" spans="4:5" ht="18.75" x14ac:dyDescent="0.3">
      <c r="D952" s="3">
        <f t="shared" ca="1" si="28"/>
        <v>120.7837386124008</v>
      </c>
      <c r="E952" s="3">
        <f t="shared" ca="1" si="29"/>
        <v>20.783738612400796</v>
      </c>
    </row>
    <row r="953" spans="4:5" ht="18.75" x14ac:dyDescent="0.3">
      <c r="D953" s="3">
        <f t="shared" ca="1" si="28"/>
        <v>102.00751793321821</v>
      </c>
      <c r="E953" s="3">
        <f t="shared" ca="1" si="29"/>
        <v>2.0075179332182103</v>
      </c>
    </row>
    <row r="954" spans="4:5" ht="18.75" x14ac:dyDescent="0.3">
      <c r="D954" s="3">
        <f t="shared" ca="1" si="28"/>
        <v>199.80874905052642</v>
      </c>
      <c r="E954" s="3">
        <f t="shared" ca="1" si="29"/>
        <v>99.808749050526416</v>
      </c>
    </row>
    <row r="955" spans="4:5" ht="18.75" x14ac:dyDescent="0.3">
      <c r="D955" s="3">
        <f t="shared" ca="1" si="28"/>
        <v>125.57037779675902</v>
      </c>
      <c r="E955" s="3">
        <f t="shared" ca="1" si="29"/>
        <v>25.570377796759018</v>
      </c>
    </row>
    <row r="956" spans="4:5" ht="18.75" x14ac:dyDescent="0.3">
      <c r="D956" s="3">
        <f t="shared" ca="1" si="28"/>
        <v>143.62133229624925</v>
      </c>
      <c r="E956" s="3">
        <f t="shared" ca="1" si="29"/>
        <v>43.62133229624925</v>
      </c>
    </row>
    <row r="957" spans="4:5" ht="18.75" x14ac:dyDescent="0.3">
      <c r="D957" s="3">
        <f t="shared" ca="1" si="28"/>
        <v>175.08789278743455</v>
      </c>
      <c r="E957" s="3">
        <f t="shared" ca="1" si="29"/>
        <v>75.087892787434555</v>
      </c>
    </row>
    <row r="958" spans="4:5" ht="18.75" x14ac:dyDescent="0.3">
      <c r="D958" s="3">
        <f t="shared" ca="1" si="28"/>
        <v>107.85188387360959</v>
      </c>
      <c r="E958" s="3">
        <f t="shared" ca="1" si="29"/>
        <v>7.8518838736095944</v>
      </c>
    </row>
    <row r="959" spans="4:5" ht="18.75" x14ac:dyDescent="0.3">
      <c r="D959" s="3">
        <f t="shared" ca="1" si="28"/>
        <v>126.8427751379523</v>
      </c>
      <c r="E959" s="3">
        <f t="shared" ca="1" si="29"/>
        <v>26.842775137952302</v>
      </c>
    </row>
    <row r="960" spans="4:5" ht="18.75" x14ac:dyDescent="0.3">
      <c r="D960" s="3">
        <f t="shared" ca="1" si="28"/>
        <v>178.13092734753923</v>
      </c>
      <c r="E960" s="3">
        <f t="shared" ca="1" si="29"/>
        <v>78.130927347539227</v>
      </c>
    </row>
    <row r="961" spans="4:5" ht="18.75" x14ac:dyDescent="0.3">
      <c r="D961" s="3">
        <f t="shared" ca="1" si="28"/>
        <v>127.88870328337072</v>
      </c>
      <c r="E961" s="3">
        <f t="shared" ca="1" si="29"/>
        <v>27.888703283370717</v>
      </c>
    </row>
    <row r="962" spans="4:5" ht="18.75" x14ac:dyDescent="0.3">
      <c r="D962" s="3">
        <f t="shared" ca="1" si="28"/>
        <v>122.12327036096944</v>
      </c>
      <c r="E962" s="3">
        <f t="shared" ca="1" si="29"/>
        <v>22.123270360969443</v>
      </c>
    </row>
    <row r="963" spans="4:5" ht="18.75" x14ac:dyDescent="0.3">
      <c r="D963" s="3">
        <f t="shared" ref="D963:D1026" ca="1" si="30">$B$4*EXP(($B$7-$B$8*$B$8*0.5)*$B$6+$B$8*SQRT($B$6)*_xlfn.NORM.S.INV(RAND()))</f>
        <v>97.036462431119972</v>
      </c>
      <c r="E963" s="3">
        <f t="shared" ref="E963:E1026" ca="1" si="31">IF($B$3="call",MAX(D963-$B$5,0),MAX($B$5-D963,0))</f>
        <v>0</v>
      </c>
    </row>
    <row r="964" spans="4:5" ht="18.75" x14ac:dyDescent="0.3">
      <c r="D964" s="3">
        <f t="shared" ca="1" si="30"/>
        <v>143.78439027220392</v>
      </c>
      <c r="E964" s="3">
        <f t="shared" ca="1" si="31"/>
        <v>43.784390272203922</v>
      </c>
    </row>
    <row r="965" spans="4:5" ht="18.75" x14ac:dyDescent="0.3">
      <c r="D965" s="3">
        <f t="shared" ca="1" si="30"/>
        <v>171.2228650727611</v>
      </c>
      <c r="E965" s="3">
        <f t="shared" ca="1" si="31"/>
        <v>71.222865072761095</v>
      </c>
    </row>
    <row r="966" spans="4:5" ht="18.75" x14ac:dyDescent="0.3">
      <c r="D966" s="3">
        <f t="shared" ca="1" si="30"/>
        <v>156.34946689335004</v>
      </c>
      <c r="E966" s="3">
        <f t="shared" ca="1" si="31"/>
        <v>56.349466893350041</v>
      </c>
    </row>
    <row r="967" spans="4:5" ht="18.75" x14ac:dyDescent="0.3">
      <c r="D967" s="3">
        <f t="shared" ca="1" si="30"/>
        <v>119.79511053946564</v>
      </c>
      <c r="E967" s="3">
        <f t="shared" ca="1" si="31"/>
        <v>19.795110539465639</v>
      </c>
    </row>
    <row r="968" spans="4:5" ht="18.75" x14ac:dyDescent="0.3">
      <c r="D968" s="3">
        <f t="shared" ca="1" si="30"/>
        <v>68.591159543350116</v>
      </c>
      <c r="E968" s="3">
        <f t="shared" ca="1" si="31"/>
        <v>0</v>
      </c>
    </row>
    <row r="969" spans="4:5" ht="18.75" x14ac:dyDescent="0.3">
      <c r="D969" s="3">
        <f t="shared" ca="1" si="30"/>
        <v>71.556950850392582</v>
      </c>
      <c r="E969" s="3">
        <f t="shared" ca="1" si="31"/>
        <v>0</v>
      </c>
    </row>
    <row r="970" spans="4:5" ht="18.75" x14ac:dyDescent="0.3">
      <c r="D970" s="3">
        <f t="shared" ca="1" si="30"/>
        <v>107.3032510127119</v>
      </c>
      <c r="E970" s="3">
        <f t="shared" ca="1" si="31"/>
        <v>7.3032510127118968</v>
      </c>
    </row>
    <row r="971" spans="4:5" ht="18.75" x14ac:dyDescent="0.3">
      <c r="D971" s="3">
        <f t="shared" ca="1" si="30"/>
        <v>121.75398387448541</v>
      </c>
      <c r="E971" s="3">
        <f t="shared" ca="1" si="31"/>
        <v>21.753983874485414</v>
      </c>
    </row>
    <row r="972" spans="4:5" ht="18.75" x14ac:dyDescent="0.3">
      <c r="D972" s="3">
        <f t="shared" ca="1" si="30"/>
        <v>107.06823242415493</v>
      </c>
      <c r="E972" s="3">
        <f t="shared" ca="1" si="31"/>
        <v>7.0682324241549281</v>
      </c>
    </row>
    <row r="973" spans="4:5" ht="18.75" x14ac:dyDescent="0.3">
      <c r="D973" s="3">
        <f t="shared" ca="1" si="30"/>
        <v>53.854409542027035</v>
      </c>
      <c r="E973" s="3">
        <f t="shared" ca="1" si="31"/>
        <v>0</v>
      </c>
    </row>
    <row r="974" spans="4:5" ht="18.75" x14ac:dyDescent="0.3">
      <c r="D974" s="3">
        <f t="shared" ca="1" si="30"/>
        <v>176.08276237763721</v>
      </c>
      <c r="E974" s="3">
        <f t="shared" ca="1" si="31"/>
        <v>76.082762377637209</v>
      </c>
    </row>
    <row r="975" spans="4:5" ht="18.75" x14ac:dyDescent="0.3">
      <c r="D975" s="3">
        <f t="shared" ca="1" si="30"/>
        <v>139.39320457142429</v>
      </c>
      <c r="E975" s="3">
        <f t="shared" ca="1" si="31"/>
        <v>39.393204571424292</v>
      </c>
    </row>
    <row r="976" spans="4:5" ht="18.75" x14ac:dyDescent="0.3">
      <c r="D976" s="3">
        <f t="shared" ca="1" si="30"/>
        <v>82.876382021000367</v>
      </c>
      <c r="E976" s="3">
        <f t="shared" ca="1" si="31"/>
        <v>0</v>
      </c>
    </row>
    <row r="977" spans="4:5" ht="18.75" x14ac:dyDescent="0.3">
      <c r="D977" s="3">
        <f t="shared" ca="1" si="30"/>
        <v>141.76386382669926</v>
      </c>
      <c r="E977" s="3">
        <f t="shared" ca="1" si="31"/>
        <v>41.763863826699264</v>
      </c>
    </row>
    <row r="978" spans="4:5" ht="18.75" x14ac:dyDescent="0.3">
      <c r="D978" s="3">
        <f t="shared" ca="1" si="30"/>
        <v>85.310260169766735</v>
      </c>
      <c r="E978" s="3">
        <f t="shared" ca="1" si="31"/>
        <v>0</v>
      </c>
    </row>
    <row r="979" spans="4:5" ht="18.75" x14ac:dyDescent="0.3">
      <c r="D979" s="3">
        <f t="shared" ca="1" si="30"/>
        <v>138.05884089578922</v>
      </c>
      <c r="E979" s="3">
        <f t="shared" ca="1" si="31"/>
        <v>38.058840895789217</v>
      </c>
    </row>
    <row r="980" spans="4:5" ht="18.75" x14ac:dyDescent="0.3">
      <c r="D980" s="3">
        <f t="shared" ca="1" si="30"/>
        <v>152.87254752037813</v>
      </c>
      <c r="E980" s="3">
        <f t="shared" ca="1" si="31"/>
        <v>52.872547520378134</v>
      </c>
    </row>
    <row r="981" spans="4:5" ht="18.75" x14ac:dyDescent="0.3">
      <c r="D981" s="3">
        <f t="shared" ca="1" si="30"/>
        <v>132.74743061315283</v>
      </c>
      <c r="E981" s="3">
        <f t="shared" ca="1" si="31"/>
        <v>32.747430613152829</v>
      </c>
    </row>
    <row r="982" spans="4:5" ht="18.75" x14ac:dyDescent="0.3">
      <c r="D982" s="3">
        <f t="shared" ca="1" si="30"/>
        <v>117.4778653967844</v>
      </c>
      <c r="E982" s="3">
        <f t="shared" ca="1" si="31"/>
        <v>17.477865396784395</v>
      </c>
    </row>
    <row r="983" spans="4:5" ht="18.75" x14ac:dyDescent="0.3">
      <c r="D983" s="3">
        <f t="shared" ca="1" si="30"/>
        <v>112.66212592545301</v>
      </c>
      <c r="E983" s="3">
        <f t="shared" ca="1" si="31"/>
        <v>12.662125925453012</v>
      </c>
    </row>
    <row r="984" spans="4:5" ht="18.75" x14ac:dyDescent="0.3">
      <c r="D984" s="3">
        <f t="shared" ca="1" si="30"/>
        <v>110.3642395014226</v>
      </c>
      <c r="E984" s="3">
        <f t="shared" ca="1" si="31"/>
        <v>10.364239501422603</v>
      </c>
    </row>
    <row r="985" spans="4:5" ht="18.75" x14ac:dyDescent="0.3">
      <c r="D985" s="3">
        <f t="shared" ca="1" si="30"/>
        <v>137.00588621572618</v>
      </c>
      <c r="E985" s="3">
        <f t="shared" ca="1" si="31"/>
        <v>37.005886215726179</v>
      </c>
    </row>
    <row r="986" spans="4:5" ht="18.75" x14ac:dyDescent="0.3">
      <c r="D986" s="3">
        <f t="shared" ca="1" si="30"/>
        <v>81.104493598719287</v>
      </c>
      <c r="E986" s="3">
        <f t="shared" ca="1" si="31"/>
        <v>0</v>
      </c>
    </row>
    <row r="987" spans="4:5" ht="18.75" x14ac:dyDescent="0.3">
      <c r="D987" s="3">
        <f t="shared" ca="1" si="30"/>
        <v>196.77382720674035</v>
      </c>
      <c r="E987" s="3">
        <f t="shared" ca="1" si="31"/>
        <v>96.77382720674035</v>
      </c>
    </row>
    <row r="988" spans="4:5" ht="18.75" x14ac:dyDescent="0.3">
      <c r="D988" s="3">
        <f t="shared" ca="1" si="30"/>
        <v>144.64695448221926</v>
      </c>
      <c r="E988" s="3">
        <f t="shared" ca="1" si="31"/>
        <v>44.646954482219257</v>
      </c>
    </row>
    <row r="989" spans="4:5" ht="18.75" x14ac:dyDescent="0.3">
      <c r="D989" s="3">
        <f t="shared" ca="1" si="30"/>
        <v>150.38019363871084</v>
      </c>
      <c r="E989" s="3">
        <f t="shared" ca="1" si="31"/>
        <v>50.380193638710836</v>
      </c>
    </row>
    <row r="990" spans="4:5" ht="18.75" x14ac:dyDescent="0.3">
      <c r="D990" s="3">
        <f t="shared" ca="1" si="30"/>
        <v>165.36971086694857</v>
      </c>
      <c r="E990" s="3">
        <f t="shared" ca="1" si="31"/>
        <v>65.369710866948566</v>
      </c>
    </row>
    <row r="991" spans="4:5" ht="18.75" x14ac:dyDescent="0.3">
      <c r="D991" s="3">
        <f t="shared" ca="1" si="30"/>
        <v>211.89395625782771</v>
      </c>
      <c r="E991" s="3">
        <f t="shared" ca="1" si="31"/>
        <v>111.89395625782771</v>
      </c>
    </row>
    <row r="992" spans="4:5" ht="18.75" x14ac:dyDescent="0.3">
      <c r="D992" s="3">
        <f t="shared" ca="1" si="30"/>
        <v>114.39137328679112</v>
      </c>
      <c r="E992" s="3">
        <f t="shared" ca="1" si="31"/>
        <v>14.391373286791122</v>
      </c>
    </row>
    <row r="993" spans="4:5" ht="18.75" x14ac:dyDescent="0.3">
      <c r="D993" s="3">
        <f t="shared" ca="1" si="30"/>
        <v>119.1364348383332</v>
      </c>
      <c r="E993" s="3">
        <f t="shared" ca="1" si="31"/>
        <v>19.136434838333201</v>
      </c>
    </row>
    <row r="994" spans="4:5" ht="18.75" x14ac:dyDescent="0.3">
      <c r="D994" s="3">
        <f t="shared" ca="1" si="30"/>
        <v>138.56982056220124</v>
      </c>
      <c r="E994" s="3">
        <f t="shared" ca="1" si="31"/>
        <v>38.569820562201244</v>
      </c>
    </row>
    <row r="995" spans="4:5" ht="18.75" x14ac:dyDescent="0.3">
      <c r="D995" s="3">
        <f t="shared" ca="1" si="30"/>
        <v>93.045847322029161</v>
      </c>
      <c r="E995" s="3">
        <f t="shared" ca="1" si="31"/>
        <v>0</v>
      </c>
    </row>
    <row r="996" spans="4:5" ht="18.75" x14ac:dyDescent="0.3">
      <c r="D996" s="3">
        <f t="shared" ca="1" si="30"/>
        <v>101.48220753288153</v>
      </c>
      <c r="E996" s="3">
        <f t="shared" ca="1" si="31"/>
        <v>1.4822075328815316</v>
      </c>
    </row>
    <row r="997" spans="4:5" ht="18.75" x14ac:dyDescent="0.3">
      <c r="D997" s="3">
        <f t="shared" ca="1" si="30"/>
        <v>135.23051136144235</v>
      </c>
      <c r="E997" s="3">
        <f t="shared" ca="1" si="31"/>
        <v>35.230511361442353</v>
      </c>
    </row>
    <row r="998" spans="4:5" ht="18.75" x14ac:dyDescent="0.3">
      <c r="D998" s="3">
        <f t="shared" ca="1" si="30"/>
        <v>133.05237530209831</v>
      </c>
      <c r="E998" s="3">
        <f t="shared" ca="1" si="31"/>
        <v>33.052375302098312</v>
      </c>
    </row>
    <row r="999" spans="4:5" ht="18.75" x14ac:dyDescent="0.3">
      <c r="D999" s="3">
        <f t="shared" ca="1" si="30"/>
        <v>80.929039526185335</v>
      </c>
      <c r="E999" s="3">
        <f t="shared" ca="1" si="31"/>
        <v>0</v>
      </c>
    </row>
    <row r="1000" spans="4:5" ht="18.75" x14ac:dyDescent="0.3">
      <c r="D1000" s="3">
        <f t="shared" ca="1" si="30"/>
        <v>172.59378722857664</v>
      </c>
      <c r="E1000" s="3">
        <f t="shared" ca="1" si="31"/>
        <v>72.593787228576645</v>
      </c>
    </row>
    <row r="1001" spans="4:5" ht="18.75" x14ac:dyDescent="0.3">
      <c r="D1001" s="3">
        <f t="shared" ca="1" si="30"/>
        <v>61.884448806870751</v>
      </c>
      <c r="E1001" s="3">
        <f t="shared" ca="1" si="31"/>
        <v>0</v>
      </c>
    </row>
    <row r="1002" spans="4:5" ht="18.75" x14ac:dyDescent="0.3">
      <c r="D1002" s="3">
        <f t="shared" ca="1" si="30"/>
        <v>111.60045851287741</v>
      </c>
      <c r="E1002" s="3">
        <f t="shared" ca="1" si="31"/>
        <v>11.60045851287741</v>
      </c>
    </row>
    <row r="1003" spans="4:5" ht="18.75" x14ac:dyDescent="0.3">
      <c r="D1003" s="3">
        <f t="shared" ca="1" si="30"/>
        <v>134.79748483051011</v>
      </c>
      <c r="E1003" s="3">
        <f t="shared" ca="1" si="31"/>
        <v>34.797484830510115</v>
      </c>
    </row>
    <row r="1004" spans="4:5" ht="18.75" x14ac:dyDescent="0.3">
      <c r="D1004" s="3">
        <f t="shared" ca="1" si="30"/>
        <v>150.0888185453594</v>
      </c>
      <c r="E1004" s="3">
        <f t="shared" ca="1" si="31"/>
        <v>50.088818545359402</v>
      </c>
    </row>
    <row r="1005" spans="4:5" ht="18.75" x14ac:dyDescent="0.3">
      <c r="D1005" s="3">
        <f t="shared" ca="1" si="30"/>
        <v>85.456341812004752</v>
      </c>
      <c r="E1005" s="3">
        <f t="shared" ca="1" si="31"/>
        <v>0</v>
      </c>
    </row>
    <row r="1006" spans="4:5" ht="18.75" x14ac:dyDescent="0.3">
      <c r="D1006" s="3">
        <f t="shared" ca="1" si="30"/>
        <v>130.47505883290614</v>
      </c>
      <c r="E1006" s="3">
        <f t="shared" ca="1" si="31"/>
        <v>30.475058832906143</v>
      </c>
    </row>
    <row r="1007" spans="4:5" ht="18.75" x14ac:dyDescent="0.3">
      <c r="D1007" s="3">
        <f t="shared" ca="1" si="30"/>
        <v>52.92846406707595</v>
      </c>
      <c r="E1007" s="3">
        <f t="shared" ca="1" si="31"/>
        <v>0</v>
      </c>
    </row>
    <row r="1008" spans="4:5" ht="18.75" x14ac:dyDescent="0.3">
      <c r="D1008" s="3">
        <f t="shared" ca="1" si="30"/>
        <v>120.92549747814839</v>
      </c>
      <c r="E1008" s="3">
        <f t="shared" ca="1" si="31"/>
        <v>20.925497478148387</v>
      </c>
    </row>
    <row r="1009" spans="4:5" ht="18.75" x14ac:dyDescent="0.3">
      <c r="D1009" s="3">
        <f t="shared" ca="1" si="30"/>
        <v>83.511685453953831</v>
      </c>
      <c r="E1009" s="3">
        <f t="shared" ca="1" si="31"/>
        <v>0</v>
      </c>
    </row>
    <row r="1010" spans="4:5" ht="18.75" x14ac:dyDescent="0.3">
      <c r="D1010" s="3">
        <f t="shared" ca="1" si="30"/>
        <v>87.858583757166514</v>
      </c>
      <c r="E1010" s="3">
        <f t="shared" ca="1" si="31"/>
        <v>0</v>
      </c>
    </row>
    <row r="1011" spans="4:5" ht="18.75" x14ac:dyDescent="0.3">
      <c r="D1011" s="3">
        <f t="shared" ca="1" si="30"/>
        <v>91.225426540562125</v>
      </c>
      <c r="E1011" s="3">
        <f t="shared" ca="1" si="31"/>
        <v>0</v>
      </c>
    </row>
    <row r="1012" spans="4:5" ht="18.75" x14ac:dyDescent="0.3">
      <c r="D1012" s="3">
        <f t="shared" ca="1" si="30"/>
        <v>135.44079157626209</v>
      </c>
      <c r="E1012" s="3">
        <f t="shared" ca="1" si="31"/>
        <v>35.440791576262086</v>
      </c>
    </row>
    <row r="1013" spans="4:5" ht="18.75" x14ac:dyDescent="0.3">
      <c r="D1013" s="3">
        <f t="shared" ca="1" si="30"/>
        <v>56.857562119408698</v>
      </c>
      <c r="E1013" s="3">
        <f t="shared" ca="1" si="31"/>
        <v>0</v>
      </c>
    </row>
    <row r="1014" spans="4:5" ht="18.75" x14ac:dyDescent="0.3">
      <c r="D1014" s="3">
        <f t="shared" ca="1" si="30"/>
        <v>117.86869749809948</v>
      </c>
      <c r="E1014" s="3">
        <f t="shared" ca="1" si="31"/>
        <v>17.868697498099479</v>
      </c>
    </row>
    <row r="1015" spans="4:5" ht="18.75" x14ac:dyDescent="0.3">
      <c r="D1015" s="3">
        <f t="shared" ca="1" si="30"/>
        <v>92.856293006306473</v>
      </c>
      <c r="E1015" s="3">
        <f t="shared" ca="1" si="31"/>
        <v>0</v>
      </c>
    </row>
    <row r="1016" spans="4:5" ht="18.75" x14ac:dyDescent="0.3">
      <c r="D1016" s="3">
        <f t="shared" ca="1" si="30"/>
        <v>159.32942830533955</v>
      </c>
      <c r="E1016" s="3">
        <f t="shared" ca="1" si="31"/>
        <v>59.329428305339547</v>
      </c>
    </row>
    <row r="1017" spans="4:5" ht="18.75" x14ac:dyDescent="0.3">
      <c r="D1017" s="3">
        <f t="shared" ca="1" si="30"/>
        <v>98.548206497197995</v>
      </c>
      <c r="E1017" s="3">
        <f t="shared" ca="1" si="31"/>
        <v>0</v>
      </c>
    </row>
    <row r="1018" spans="4:5" ht="18.75" x14ac:dyDescent="0.3">
      <c r="D1018" s="3">
        <f t="shared" ca="1" si="30"/>
        <v>82.938045961379331</v>
      </c>
      <c r="E1018" s="3">
        <f t="shared" ca="1" si="31"/>
        <v>0</v>
      </c>
    </row>
    <row r="1019" spans="4:5" ht="18.75" x14ac:dyDescent="0.3">
      <c r="D1019" s="3">
        <f t="shared" ca="1" si="30"/>
        <v>153.76162370327805</v>
      </c>
      <c r="E1019" s="3">
        <f t="shared" ca="1" si="31"/>
        <v>53.761623703278048</v>
      </c>
    </row>
    <row r="1020" spans="4:5" ht="18.75" x14ac:dyDescent="0.3">
      <c r="D1020" s="3">
        <f t="shared" ca="1" si="30"/>
        <v>141.36740447807992</v>
      </c>
      <c r="E1020" s="3">
        <f t="shared" ca="1" si="31"/>
        <v>41.367404478079919</v>
      </c>
    </row>
    <row r="1021" spans="4:5" ht="18.75" x14ac:dyDescent="0.3">
      <c r="D1021" s="3">
        <f t="shared" ca="1" si="30"/>
        <v>80.132842098692677</v>
      </c>
      <c r="E1021" s="3">
        <f t="shared" ca="1" si="31"/>
        <v>0</v>
      </c>
    </row>
    <row r="1022" spans="4:5" ht="18.75" x14ac:dyDescent="0.3">
      <c r="D1022" s="3">
        <f t="shared" ca="1" si="30"/>
        <v>104.31692786403484</v>
      </c>
      <c r="E1022" s="3">
        <f t="shared" ca="1" si="31"/>
        <v>4.3169278640348381</v>
      </c>
    </row>
    <row r="1023" spans="4:5" ht="18.75" x14ac:dyDescent="0.3">
      <c r="D1023" s="3">
        <f t="shared" ca="1" si="30"/>
        <v>104.09894009868266</v>
      </c>
      <c r="E1023" s="3">
        <f t="shared" ca="1" si="31"/>
        <v>4.098940098682661</v>
      </c>
    </row>
    <row r="1024" spans="4:5" ht="18.75" x14ac:dyDescent="0.3">
      <c r="D1024" s="3">
        <f t="shared" ca="1" si="30"/>
        <v>147.6338312833943</v>
      </c>
      <c r="E1024" s="3">
        <f t="shared" ca="1" si="31"/>
        <v>47.633831283394301</v>
      </c>
    </row>
    <row r="1025" spans="4:5" ht="18.75" x14ac:dyDescent="0.3">
      <c r="D1025" s="3">
        <f t="shared" ca="1" si="30"/>
        <v>78.122783990523772</v>
      </c>
      <c r="E1025" s="3">
        <f t="shared" ca="1" si="31"/>
        <v>0</v>
      </c>
    </row>
    <row r="1026" spans="4:5" ht="18.75" x14ac:dyDescent="0.3">
      <c r="D1026" s="3">
        <f t="shared" ca="1" si="30"/>
        <v>88.909768036540598</v>
      </c>
      <c r="E1026" s="3">
        <f t="shared" ca="1" si="31"/>
        <v>0</v>
      </c>
    </row>
    <row r="1027" spans="4:5" ht="18.75" x14ac:dyDescent="0.3">
      <c r="D1027" s="3">
        <f t="shared" ref="D1027:D1090" ca="1" si="32">$B$4*EXP(($B$7-$B$8*$B$8*0.5)*$B$6+$B$8*SQRT($B$6)*_xlfn.NORM.S.INV(RAND()))</f>
        <v>77.276201470086463</v>
      </c>
      <c r="E1027" s="3">
        <f t="shared" ref="E1027:E1090" ca="1" si="33">IF($B$3="call",MAX(D1027-$B$5,0),MAX($B$5-D1027,0))</f>
        <v>0</v>
      </c>
    </row>
    <row r="1028" spans="4:5" ht="18.75" x14ac:dyDescent="0.3">
      <c r="D1028" s="3">
        <f t="shared" ca="1" si="32"/>
        <v>117.9578768815207</v>
      </c>
      <c r="E1028" s="3">
        <f t="shared" ca="1" si="33"/>
        <v>17.957876881520704</v>
      </c>
    </row>
    <row r="1029" spans="4:5" ht="18.75" x14ac:dyDescent="0.3">
      <c r="D1029" s="3">
        <f t="shared" ca="1" si="32"/>
        <v>91.562583257697185</v>
      </c>
      <c r="E1029" s="3">
        <f t="shared" ca="1" si="33"/>
        <v>0</v>
      </c>
    </row>
    <row r="1030" spans="4:5" ht="18.75" x14ac:dyDescent="0.3">
      <c r="D1030" s="3">
        <f t="shared" ca="1" si="32"/>
        <v>126.22111476926526</v>
      </c>
      <c r="E1030" s="3">
        <f t="shared" ca="1" si="33"/>
        <v>26.221114769265256</v>
      </c>
    </row>
    <row r="1031" spans="4:5" ht="18.75" x14ac:dyDescent="0.3">
      <c r="D1031" s="3">
        <f t="shared" ca="1" si="32"/>
        <v>66.031843623706919</v>
      </c>
      <c r="E1031" s="3">
        <f t="shared" ca="1" si="33"/>
        <v>0</v>
      </c>
    </row>
    <row r="1032" spans="4:5" ht="18.75" x14ac:dyDescent="0.3">
      <c r="D1032" s="3">
        <f t="shared" ca="1" si="32"/>
        <v>167.8734122451994</v>
      </c>
      <c r="E1032" s="3">
        <f t="shared" ca="1" si="33"/>
        <v>67.873412245199404</v>
      </c>
    </row>
    <row r="1033" spans="4:5" ht="18.75" x14ac:dyDescent="0.3">
      <c r="D1033" s="3">
        <f t="shared" ca="1" si="32"/>
        <v>111.21853651174038</v>
      </c>
      <c r="E1033" s="3">
        <f t="shared" ca="1" si="33"/>
        <v>11.218536511740382</v>
      </c>
    </row>
    <row r="1034" spans="4:5" ht="18.75" x14ac:dyDescent="0.3">
      <c r="D1034" s="3">
        <f t="shared" ca="1" si="32"/>
        <v>78.171464162575859</v>
      </c>
      <c r="E1034" s="3">
        <f t="shared" ca="1" si="33"/>
        <v>0</v>
      </c>
    </row>
    <row r="1035" spans="4:5" ht="18.75" x14ac:dyDescent="0.3">
      <c r="D1035" s="3">
        <f t="shared" ca="1" si="32"/>
        <v>91.269646049019386</v>
      </c>
      <c r="E1035" s="3">
        <f t="shared" ca="1" si="33"/>
        <v>0</v>
      </c>
    </row>
    <row r="1036" spans="4:5" ht="18.75" x14ac:dyDescent="0.3">
      <c r="D1036" s="3">
        <f t="shared" ca="1" si="32"/>
        <v>108.55238602790082</v>
      </c>
      <c r="E1036" s="3">
        <f t="shared" ca="1" si="33"/>
        <v>8.5523860279008233</v>
      </c>
    </row>
    <row r="1037" spans="4:5" ht="18.75" x14ac:dyDescent="0.3">
      <c r="D1037" s="3">
        <f t="shared" ca="1" si="32"/>
        <v>130.66850183950817</v>
      </c>
      <c r="E1037" s="3">
        <f t="shared" ca="1" si="33"/>
        <v>30.668501839508167</v>
      </c>
    </row>
    <row r="1038" spans="4:5" ht="18.75" x14ac:dyDescent="0.3">
      <c r="D1038" s="3">
        <f t="shared" ca="1" si="32"/>
        <v>270.04672544870618</v>
      </c>
      <c r="E1038" s="3">
        <f t="shared" ca="1" si="33"/>
        <v>170.04672544870618</v>
      </c>
    </row>
    <row r="1039" spans="4:5" ht="18.75" x14ac:dyDescent="0.3">
      <c r="D1039" s="3">
        <f t="shared" ca="1" si="32"/>
        <v>102.78164639144643</v>
      </c>
      <c r="E1039" s="3">
        <f t="shared" ca="1" si="33"/>
        <v>2.7816463914464293</v>
      </c>
    </row>
    <row r="1040" spans="4:5" ht="18.75" x14ac:dyDescent="0.3">
      <c r="D1040" s="3">
        <f t="shared" ca="1" si="32"/>
        <v>143.93361972376309</v>
      </c>
      <c r="E1040" s="3">
        <f t="shared" ca="1" si="33"/>
        <v>43.933619723763087</v>
      </c>
    </row>
    <row r="1041" spans="4:5" ht="18.75" x14ac:dyDescent="0.3">
      <c r="D1041" s="3">
        <f t="shared" ca="1" si="32"/>
        <v>120.10736316070411</v>
      </c>
      <c r="E1041" s="3">
        <f t="shared" ca="1" si="33"/>
        <v>20.107363160704111</v>
      </c>
    </row>
    <row r="1042" spans="4:5" ht="18.75" x14ac:dyDescent="0.3">
      <c r="D1042" s="3">
        <f t="shared" ca="1" si="32"/>
        <v>57.392271191423575</v>
      </c>
      <c r="E1042" s="3">
        <f t="shared" ca="1" si="33"/>
        <v>0</v>
      </c>
    </row>
    <row r="1043" spans="4:5" ht="18.75" x14ac:dyDescent="0.3">
      <c r="D1043" s="3">
        <f t="shared" ca="1" si="32"/>
        <v>218.53842110027819</v>
      </c>
      <c r="E1043" s="3">
        <f t="shared" ca="1" si="33"/>
        <v>118.53842110027819</v>
      </c>
    </row>
    <row r="1044" spans="4:5" ht="18.75" x14ac:dyDescent="0.3">
      <c r="D1044" s="3">
        <f t="shared" ca="1" si="32"/>
        <v>65.092947410038718</v>
      </c>
      <c r="E1044" s="3">
        <f t="shared" ca="1" si="33"/>
        <v>0</v>
      </c>
    </row>
    <row r="1045" spans="4:5" ht="18.75" x14ac:dyDescent="0.3">
      <c r="D1045" s="3">
        <f t="shared" ca="1" si="32"/>
        <v>137.84739408009335</v>
      </c>
      <c r="E1045" s="3">
        <f t="shared" ca="1" si="33"/>
        <v>37.847394080093352</v>
      </c>
    </row>
    <row r="1046" spans="4:5" ht="18.75" x14ac:dyDescent="0.3">
      <c r="D1046" s="3">
        <f t="shared" ca="1" si="32"/>
        <v>124.78093466260034</v>
      </c>
      <c r="E1046" s="3">
        <f t="shared" ca="1" si="33"/>
        <v>24.780934662600345</v>
      </c>
    </row>
    <row r="1047" spans="4:5" ht="18.75" x14ac:dyDescent="0.3">
      <c r="D1047" s="3">
        <f t="shared" ca="1" si="32"/>
        <v>131.12876291710677</v>
      </c>
      <c r="E1047" s="3">
        <f t="shared" ca="1" si="33"/>
        <v>31.128762917106769</v>
      </c>
    </row>
    <row r="1048" spans="4:5" ht="18.75" x14ac:dyDescent="0.3">
      <c r="D1048" s="3">
        <f t="shared" ca="1" si="32"/>
        <v>88.043099029116547</v>
      </c>
      <c r="E1048" s="3">
        <f t="shared" ca="1" si="33"/>
        <v>0</v>
      </c>
    </row>
    <row r="1049" spans="4:5" ht="18.75" x14ac:dyDescent="0.3">
      <c r="D1049" s="3">
        <f t="shared" ca="1" si="32"/>
        <v>84.401363426260133</v>
      </c>
      <c r="E1049" s="3">
        <f t="shared" ca="1" si="33"/>
        <v>0</v>
      </c>
    </row>
    <row r="1050" spans="4:5" ht="18.75" x14ac:dyDescent="0.3">
      <c r="D1050" s="3">
        <f t="shared" ca="1" si="32"/>
        <v>139.61736333842612</v>
      </c>
      <c r="E1050" s="3">
        <f t="shared" ca="1" si="33"/>
        <v>39.617363338426117</v>
      </c>
    </row>
    <row r="1051" spans="4:5" ht="18.75" x14ac:dyDescent="0.3">
      <c r="D1051" s="3">
        <f t="shared" ca="1" si="32"/>
        <v>137.76351531553351</v>
      </c>
      <c r="E1051" s="3">
        <f t="shared" ca="1" si="33"/>
        <v>37.76351531553351</v>
      </c>
    </row>
    <row r="1052" spans="4:5" ht="18.75" x14ac:dyDescent="0.3">
      <c r="D1052" s="3">
        <f t="shared" ca="1" si="32"/>
        <v>147.31555354730673</v>
      </c>
      <c r="E1052" s="3">
        <f t="shared" ca="1" si="33"/>
        <v>47.315553547306735</v>
      </c>
    </row>
    <row r="1053" spans="4:5" ht="18.75" x14ac:dyDescent="0.3">
      <c r="D1053" s="3">
        <f t="shared" ca="1" si="32"/>
        <v>120.55494106560955</v>
      </c>
      <c r="E1053" s="3">
        <f t="shared" ca="1" si="33"/>
        <v>20.554941065609555</v>
      </c>
    </row>
    <row r="1054" spans="4:5" ht="18.75" x14ac:dyDescent="0.3">
      <c r="D1054" s="3">
        <f t="shared" ca="1" si="32"/>
        <v>96.927575334575309</v>
      </c>
      <c r="E1054" s="3">
        <f t="shared" ca="1" si="33"/>
        <v>0</v>
      </c>
    </row>
    <row r="1055" spans="4:5" ht="18.75" x14ac:dyDescent="0.3">
      <c r="D1055" s="3">
        <f t="shared" ca="1" si="32"/>
        <v>119.37416734922621</v>
      </c>
      <c r="E1055" s="3">
        <f t="shared" ca="1" si="33"/>
        <v>19.374167349226212</v>
      </c>
    </row>
    <row r="1056" spans="4:5" ht="18.75" x14ac:dyDescent="0.3">
      <c r="D1056" s="3">
        <f t="shared" ca="1" si="32"/>
        <v>63.176069591930272</v>
      </c>
      <c r="E1056" s="3">
        <f t="shared" ca="1" si="33"/>
        <v>0</v>
      </c>
    </row>
    <row r="1057" spans="4:5" ht="18.75" x14ac:dyDescent="0.3">
      <c r="D1057" s="3">
        <f t="shared" ca="1" si="32"/>
        <v>110.15479862559576</v>
      </c>
      <c r="E1057" s="3">
        <f t="shared" ca="1" si="33"/>
        <v>10.15479862559576</v>
      </c>
    </row>
    <row r="1058" spans="4:5" ht="18.75" x14ac:dyDescent="0.3">
      <c r="D1058" s="3">
        <f t="shared" ca="1" si="32"/>
        <v>93.434234419014999</v>
      </c>
      <c r="E1058" s="3">
        <f t="shared" ca="1" si="33"/>
        <v>0</v>
      </c>
    </row>
    <row r="1059" spans="4:5" ht="18.75" x14ac:dyDescent="0.3">
      <c r="D1059" s="3">
        <f t="shared" ca="1" si="32"/>
        <v>80.310310624211269</v>
      </c>
      <c r="E1059" s="3">
        <f t="shared" ca="1" si="33"/>
        <v>0</v>
      </c>
    </row>
    <row r="1060" spans="4:5" ht="18.75" x14ac:dyDescent="0.3">
      <c r="D1060" s="3">
        <f t="shared" ca="1" si="32"/>
        <v>92.942126639625783</v>
      </c>
      <c r="E1060" s="3">
        <f t="shared" ca="1" si="33"/>
        <v>0</v>
      </c>
    </row>
    <row r="1061" spans="4:5" ht="18.75" x14ac:dyDescent="0.3">
      <c r="D1061" s="3">
        <f t="shared" ca="1" si="32"/>
        <v>135.52549761259704</v>
      </c>
      <c r="E1061" s="3">
        <f t="shared" ca="1" si="33"/>
        <v>35.525497612597036</v>
      </c>
    </row>
    <row r="1062" spans="4:5" ht="18.75" x14ac:dyDescent="0.3">
      <c r="D1062" s="3">
        <f t="shared" ca="1" si="32"/>
        <v>159.15875137285911</v>
      </c>
      <c r="E1062" s="3">
        <f t="shared" ca="1" si="33"/>
        <v>59.158751372859115</v>
      </c>
    </row>
    <row r="1063" spans="4:5" ht="18.75" x14ac:dyDescent="0.3">
      <c r="D1063" s="3">
        <f t="shared" ca="1" si="32"/>
        <v>87.723542511929736</v>
      </c>
      <c r="E1063" s="3">
        <f t="shared" ca="1" si="33"/>
        <v>0</v>
      </c>
    </row>
    <row r="1064" spans="4:5" ht="18.75" x14ac:dyDescent="0.3">
      <c r="D1064" s="3">
        <f t="shared" ca="1" si="32"/>
        <v>86.250941756180538</v>
      </c>
      <c r="E1064" s="3">
        <f t="shared" ca="1" si="33"/>
        <v>0</v>
      </c>
    </row>
    <row r="1065" spans="4:5" ht="18.75" x14ac:dyDescent="0.3">
      <c r="D1065" s="3">
        <f t="shared" ca="1" si="32"/>
        <v>103.40382489135888</v>
      </c>
      <c r="E1065" s="3">
        <f t="shared" ca="1" si="33"/>
        <v>3.4038248913588802</v>
      </c>
    </row>
    <row r="1066" spans="4:5" ht="18.75" x14ac:dyDescent="0.3">
      <c r="D1066" s="3">
        <f t="shared" ca="1" si="32"/>
        <v>103.57837742409953</v>
      </c>
      <c r="E1066" s="3">
        <f t="shared" ca="1" si="33"/>
        <v>3.5783774240995285</v>
      </c>
    </row>
    <row r="1067" spans="4:5" ht="18.75" x14ac:dyDescent="0.3">
      <c r="D1067" s="3">
        <f t="shared" ca="1" si="32"/>
        <v>129.16904321611094</v>
      </c>
      <c r="E1067" s="3">
        <f t="shared" ca="1" si="33"/>
        <v>29.169043216110936</v>
      </c>
    </row>
    <row r="1068" spans="4:5" ht="18.75" x14ac:dyDescent="0.3">
      <c r="D1068" s="3">
        <f t="shared" ca="1" si="32"/>
        <v>104.07988030135651</v>
      </c>
      <c r="E1068" s="3">
        <f t="shared" ca="1" si="33"/>
        <v>4.0798803013565106</v>
      </c>
    </row>
    <row r="1069" spans="4:5" ht="18.75" x14ac:dyDescent="0.3">
      <c r="D1069" s="3">
        <f t="shared" ca="1" si="32"/>
        <v>66.426499722395747</v>
      </c>
      <c r="E1069" s="3">
        <f t="shared" ca="1" si="33"/>
        <v>0</v>
      </c>
    </row>
    <row r="1070" spans="4:5" ht="18.75" x14ac:dyDescent="0.3">
      <c r="D1070" s="3">
        <f t="shared" ca="1" si="32"/>
        <v>75.662549415975334</v>
      </c>
      <c r="E1070" s="3">
        <f t="shared" ca="1" si="33"/>
        <v>0</v>
      </c>
    </row>
    <row r="1071" spans="4:5" ht="18.75" x14ac:dyDescent="0.3">
      <c r="D1071" s="3">
        <f t="shared" ca="1" si="32"/>
        <v>133.9873216826426</v>
      </c>
      <c r="E1071" s="3">
        <f t="shared" ca="1" si="33"/>
        <v>33.987321682642602</v>
      </c>
    </row>
    <row r="1072" spans="4:5" ht="18.75" x14ac:dyDescent="0.3">
      <c r="D1072" s="3">
        <f t="shared" ca="1" si="32"/>
        <v>103.3931767905738</v>
      </c>
      <c r="E1072" s="3">
        <f t="shared" ca="1" si="33"/>
        <v>3.3931767905738042</v>
      </c>
    </row>
    <row r="1073" spans="4:5" ht="18.75" x14ac:dyDescent="0.3">
      <c r="D1073" s="3">
        <f t="shared" ca="1" si="32"/>
        <v>154.27011987562017</v>
      </c>
      <c r="E1073" s="3">
        <f t="shared" ca="1" si="33"/>
        <v>54.270119875620168</v>
      </c>
    </row>
    <row r="1074" spans="4:5" ht="18.75" x14ac:dyDescent="0.3">
      <c r="D1074" s="3">
        <f t="shared" ca="1" si="32"/>
        <v>53.707792355404507</v>
      </c>
      <c r="E1074" s="3">
        <f t="shared" ca="1" si="33"/>
        <v>0</v>
      </c>
    </row>
    <row r="1075" spans="4:5" ht="18.75" x14ac:dyDescent="0.3">
      <c r="D1075" s="3">
        <f t="shared" ca="1" si="32"/>
        <v>125.11473986974735</v>
      </c>
      <c r="E1075" s="3">
        <f t="shared" ca="1" si="33"/>
        <v>25.114739869747353</v>
      </c>
    </row>
    <row r="1076" spans="4:5" ht="18.75" x14ac:dyDescent="0.3">
      <c r="D1076" s="3">
        <f t="shared" ca="1" si="32"/>
        <v>95.017107484490822</v>
      </c>
      <c r="E1076" s="3">
        <f t="shared" ca="1" si="33"/>
        <v>0</v>
      </c>
    </row>
    <row r="1077" spans="4:5" ht="18.75" x14ac:dyDescent="0.3">
      <c r="D1077" s="3">
        <f t="shared" ca="1" si="32"/>
        <v>87.173045620087976</v>
      </c>
      <c r="E1077" s="3">
        <f t="shared" ca="1" si="33"/>
        <v>0</v>
      </c>
    </row>
    <row r="1078" spans="4:5" ht="18.75" x14ac:dyDescent="0.3">
      <c r="D1078" s="3">
        <f t="shared" ca="1" si="32"/>
        <v>103.31770680859753</v>
      </c>
      <c r="E1078" s="3">
        <f t="shared" ca="1" si="33"/>
        <v>3.317706808597535</v>
      </c>
    </row>
    <row r="1079" spans="4:5" ht="18.75" x14ac:dyDescent="0.3">
      <c r="D1079" s="3">
        <f t="shared" ca="1" si="32"/>
        <v>165.44976434894377</v>
      </c>
      <c r="E1079" s="3">
        <f t="shared" ca="1" si="33"/>
        <v>65.449764348943773</v>
      </c>
    </row>
    <row r="1080" spans="4:5" ht="18.75" x14ac:dyDescent="0.3">
      <c r="D1080" s="3">
        <f t="shared" ca="1" si="32"/>
        <v>107.10501337074723</v>
      </c>
      <c r="E1080" s="3">
        <f t="shared" ca="1" si="33"/>
        <v>7.1050133707472298</v>
      </c>
    </row>
    <row r="1081" spans="4:5" ht="18.75" x14ac:dyDescent="0.3">
      <c r="D1081" s="3">
        <f t="shared" ca="1" si="32"/>
        <v>150.28240061039668</v>
      </c>
      <c r="E1081" s="3">
        <f t="shared" ca="1" si="33"/>
        <v>50.282400610396678</v>
      </c>
    </row>
    <row r="1082" spans="4:5" ht="18.75" x14ac:dyDescent="0.3">
      <c r="D1082" s="3">
        <f t="shared" ca="1" si="32"/>
        <v>136.18315942108273</v>
      </c>
      <c r="E1082" s="3">
        <f t="shared" ca="1" si="33"/>
        <v>36.183159421082735</v>
      </c>
    </row>
    <row r="1083" spans="4:5" ht="18.75" x14ac:dyDescent="0.3">
      <c r="D1083" s="3">
        <f t="shared" ca="1" si="32"/>
        <v>115.36005455312228</v>
      </c>
      <c r="E1083" s="3">
        <f t="shared" ca="1" si="33"/>
        <v>15.360054553122282</v>
      </c>
    </row>
    <row r="1084" spans="4:5" ht="18.75" x14ac:dyDescent="0.3">
      <c r="D1084" s="3">
        <f t="shared" ca="1" si="32"/>
        <v>129.25850347925808</v>
      </c>
      <c r="E1084" s="3">
        <f t="shared" ca="1" si="33"/>
        <v>29.258503479258081</v>
      </c>
    </row>
    <row r="1085" spans="4:5" ht="18.75" x14ac:dyDescent="0.3">
      <c r="D1085" s="3">
        <f t="shared" ca="1" si="32"/>
        <v>176.66078273820861</v>
      </c>
      <c r="E1085" s="3">
        <f t="shared" ca="1" si="33"/>
        <v>76.66078273820861</v>
      </c>
    </row>
    <row r="1086" spans="4:5" ht="18.75" x14ac:dyDescent="0.3">
      <c r="D1086" s="3">
        <f t="shared" ca="1" si="32"/>
        <v>75.167731844065472</v>
      </c>
      <c r="E1086" s="3">
        <f t="shared" ca="1" si="33"/>
        <v>0</v>
      </c>
    </row>
    <row r="1087" spans="4:5" ht="18.75" x14ac:dyDescent="0.3">
      <c r="D1087" s="3">
        <f t="shared" ca="1" si="32"/>
        <v>78.313968025536568</v>
      </c>
      <c r="E1087" s="3">
        <f t="shared" ca="1" si="33"/>
        <v>0</v>
      </c>
    </row>
    <row r="1088" spans="4:5" ht="18.75" x14ac:dyDescent="0.3">
      <c r="D1088" s="3">
        <f t="shared" ca="1" si="32"/>
        <v>106.60906386625915</v>
      </c>
      <c r="E1088" s="3">
        <f t="shared" ca="1" si="33"/>
        <v>6.6090638662591488</v>
      </c>
    </row>
    <row r="1089" spans="4:5" ht="18.75" x14ac:dyDescent="0.3">
      <c r="D1089" s="3">
        <f t="shared" ca="1" si="32"/>
        <v>78.160026108907701</v>
      </c>
      <c r="E1089" s="3">
        <f t="shared" ca="1" si="33"/>
        <v>0</v>
      </c>
    </row>
    <row r="1090" spans="4:5" ht="18.75" x14ac:dyDescent="0.3">
      <c r="D1090" s="3">
        <f t="shared" ca="1" si="32"/>
        <v>161.13042504339202</v>
      </c>
      <c r="E1090" s="3">
        <f t="shared" ca="1" si="33"/>
        <v>61.130425043392023</v>
      </c>
    </row>
    <row r="1091" spans="4:5" ht="18.75" x14ac:dyDescent="0.3">
      <c r="D1091" s="3">
        <f t="shared" ref="D1091:D1154" ca="1" si="34">$B$4*EXP(($B$7-$B$8*$B$8*0.5)*$B$6+$B$8*SQRT($B$6)*_xlfn.NORM.S.INV(RAND()))</f>
        <v>102.053676052757</v>
      </c>
      <c r="E1091" s="3">
        <f t="shared" ref="E1091:E1154" ca="1" si="35">IF($B$3="call",MAX(D1091-$B$5,0),MAX($B$5-D1091,0))</f>
        <v>2.0536760527569982</v>
      </c>
    </row>
    <row r="1092" spans="4:5" ht="18.75" x14ac:dyDescent="0.3">
      <c r="D1092" s="3">
        <f t="shared" ca="1" si="34"/>
        <v>70.825686444830254</v>
      </c>
      <c r="E1092" s="3">
        <f t="shared" ca="1" si="35"/>
        <v>0</v>
      </c>
    </row>
    <row r="1093" spans="4:5" ht="18.75" x14ac:dyDescent="0.3">
      <c r="D1093" s="3">
        <f t="shared" ca="1" si="34"/>
        <v>94.947568431133661</v>
      </c>
      <c r="E1093" s="3">
        <f t="shared" ca="1" si="35"/>
        <v>0</v>
      </c>
    </row>
    <row r="1094" spans="4:5" ht="18.75" x14ac:dyDescent="0.3">
      <c r="D1094" s="3">
        <f t="shared" ca="1" si="34"/>
        <v>114.50422866880572</v>
      </c>
      <c r="E1094" s="3">
        <f t="shared" ca="1" si="35"/>
        <v>14.504228668805723</v>
      </c>
    </row>
    <row r="1095" spans="4:5" ht="18.75" x14ac:dyDescent="0.3">
      <c r="D1095" s="3">
        <f t="shared" ca="1" si="34"/>
        <v>95.021105898358982</v>
      </c>
      <c r="E1095" s="3">
        <f t="shared" ca="1" si="35"/>
        <v>0</v>
      </c>
    </row>
    <row r="1096" spans="4:5" ht="18.75" x14ac:dyDescent="0.3">
      <c r="D1096" s="3">
        <f t="shared" ca="1" si="34"/>
        <v>135.73286370963672</v>
      </c>
      <c r="E1096" s="3">
        <f t="shared" ca="1" si="35"/>
        <v>35.732863709636717</v>
      </c>
    </row>
    <row r="1097" spans="4:5" ht="18.75" x14ac:dyDescent="0.3">
      <c r="D1097" s="3">
        <f t="shared" ca="1" si="34"/>
        <v>69.252960687919511</v>
      </c>
      <c r="E1097" s="3">
        <f t="shared" ca="1" si="35"/>
        <v>0</v>
      </c>
    </row>
    <row r="1098" spans="4:5" ht="18.75" x14ac:dyDescent="0.3">
      <c r="D1098" s="3">
        <f t="shared" ca="1" si="34"/>
        <v>114.97596915539876</v>
      </c>
      <c r="E1098" s="3">
        <f t="shared" ca="1" si="35"/>
        <v>14.975969155398758</v>
      </c>
    </row>
    <row r="1099" spans="4:5" ht="18.75" x14ac:dyDescent="0.3">
      <c r="D1099" s="3">
        <f t="shared" ca="1" si="34"/>
        <v>101.35311526169917</v>
      </c>
      <c r="E1099" s="3">
        <f t="shared" ca="1" si="35"/>
        <v>1.3531152616991733</v>
      </c>
    </row>
    <row r="1100" spans="4:5" ht="18.75" x14ac:dyDescent="0.3">
      <c r="D1100" s="3">
        <f t="shared" ca="1" si="34"/>
        <v>77.489342215245202</v>
      </c>
      <c r="E1100" s="3">
        <f t="shared" ca="1" si="35"/>
        <v>0</v>
      </c>
    </row>
    <row r="1101" spans="4:5" ht="18.75" x14ac:dyDescent="0.3">
      <c r="D1101" s="3">
        <f t="shared" ca="1" si="34"/>
        <v>95.925894513439104</v>
      </c>
      <c r="E1101" s="3">
        <f t="shared" ca="1" si="35"/>
        <v>0</v>
      </c>
    </row>
    <row r="1102" spans="4:5" ht="18.75" x14ac:dyDescent="0.3">
      <c r="D1102" s="3">
        <f t="shared" ca="1" si="34"/>
        <v>137.76556558575749</v>
      </c>
      <c r="E1102" s="3">
        <f t="shared" ca="1" si="35"/>
        <v>37.765565585757486</v>
      </c>
    </row>
    <row r="1103" spans="4:5" ht="18.75" x14ac:dyDescent="0.3">
      <c r="D1103" s="3">
        <f t="shared" ca="1" si="34"/>
        <v>97.153955496582185</v>
      </c>
      <c r="E1103" s="3">
        <f t="shared" ca="1" si="35"/>
        <v>0</v>
      </c>
    </row>
    <row r="1104" spans="4:5" ht="18.75" x14ac:dyDescent="0.3">
      <c r="D1104" s="3">
        <f t="shared" ca="1" si="34"/>
        <v>65.259551128085008</v>
      </c>
      <c r="E1104" s="3">
        <f t="shared" ca="1" si="35"/>
        <v>0</v>
      </c>
    </row>
    <row r="1105" spans="4:5" ht="18.75" x14ac:dyDescent="0.3">
      <c r="D1105" s="3">
        <f t="shared" ca="1" si="34"/>
        <v>147.31695219225875</v>
      </c>
      <c r="E1105" s="3">
        <f t="shared" ca="1" si="35"/>
        <v>47.316952192258753</v>
      </c>
    </row>
    <row r="1106" spans="4:5" ht="18.75" x14ac:dyDescent="0.3">
      <c r="D1106" s="3">
        <f t="shared" ca="1" si="34"/>
        <v>130.03455421839143</v>
      </c>
      <c r="E1106" s="3">
        <f t="shared" ca="1" si="35"/>
        <v>30.034554218391435</v>
      </c>
    </row>
    <row r="1107" spans="4:5" ht="18.75" x14ac:dyDescent="0.3">
      <c r="D1107" s="3">
        <f t="shared" ca="1" si="34"/>
        <v>142.46264080932934</v>
      </c>
      <c r="E1107" s="3">
        <f t="shared" ca="1" si="35"/>
        <v>42.462640809329343</v>
      </c>
    </row>
    <row r="1108" spans="4:5" ht="18.75" x14ac:dyDescent="0.3">
      <c r="D1108" s="3">
        <f t="shared" ca="1" si="34"/>
        <v>126.58473823507883</v>
      </c>
      <c r="E1108" s="3">
        <f t="shared" ca="1" si="35"/>
        <v>26.584738235078831</v>
      </c>
    </row>
    <row r="1109" spans="4:5" ht="18.75" x14ac:dyDescent="0.3">
      <c r="D1109" s="3">
        <f t="shared" ca="1" si="34"/>
        <v>93.599445270202992</v>
      </c>
      <c r="E1109" s="3">
        <f t="shared" ca="1" si="35"/>
        <v>0</v>
      </c>
    </row>
    <row r="1110" spans="4:5" ht="18.75" x14ac:dyDescent="0.3">
      <c r="D1110" s="3">
        <f t="shared" ca="1" si="34"/>
        <v>159.61182841544991</v>
      </c>
      <c r="E1110" s="3">
        <f t="shared" ca="1" si="35"/>
        <v>59.611828415449907</v>
      </c>
    </row>
    <row r="1111" spans="4:5" ht="18.75" x14ac:dyDescent="0.3">
      <c r="D1111" s="3">
        <f t="shared" ca="1" si="34"/>
        <v>151.20331978417764</v>
      </c>
      <c r="E1111" s="3">
        <f t="shared" ca="1" si="35"/>
        <v>51.203319784177637</v>
      </c>
    </row>
    <row r="1112" spans="4:5" ht="18.75" x14ac:dyDescent="0.3">
      <c r="D1112" s="3">
        <f t="shared" ca="1" si="34"/>
        <v>132.09436738747468</v>
      </c>
      <c r="E1112" s="3">
        <f t="shared" ca="1" si="35"/>
        <v>32.094367387474676</v>
      </c>
    </row>
    <row r="1113" spans="4:5" ht="18.75" x14ac:dyDescent="0.3">
      <c r="D1113" s="3">
        <f t="shared" ca="1" si="34"/>
        <v>114.94527351464092</v>
      </c>
      <c r="E1113" s="3">
        <f t="shared" ca="1" si="35"/>
        <v>14.945273514640917</v>
      </c>
    </row>
    <row r="1114" spans="4:5" ht="18.75" x14ac:dyDescent="0.3">
      <c r="D1114" s="3">
        <f t="shared" ca="1" si="34"/>
        <v>184.08605834600564</v>
      </c>
      <c r="E1114" s="3">
        <f t="shared" ca="1" si="35"/>
        <v>84.086058346005643</v>
      </c>
    </row>
    <row r="1115" spans="4:5" ht="18.75" x14ac:dyDescent="0.3">
      <c r="D1115" s="3">
        <f t="shared" ca="1" si="34"/>
        <v>101.39450393443066</v>
      </c>
      <c r="E1115" s="3">
        <f t="shared" ca="1" si="35"/>
        <v>1.3945039344306593</v>
      </c>
    </row>
    <row r="1116" spans="4:5" ht="18.75" x14ac:dyDescent="0.3">
      <c r="D1116" s="3">
        <f t="shared" ca="1" si="34"/>
        <v>125.95371464174762</v>
      </c>
      <c r="E1116" s="3">
        <f t="shared" ca="1" si="35"/>
        <v>25.953714641747624</v>
      </c>
    </row>
    <row r="1117" spans="4:5" ht="18.75" x14ac:dyDescent="0.3">
      <c r="D1117" s="3">
        <f t="shared" ca="1" si="34"/>
        <v>76.683955149481122</v>
      </c>
      <c r="E1117" s="3">
        <f t="shared" ca="1" si="35"/>
        <v>0</v>
      </c>
    </row>
    <row r="1118" spans="4:5" ht="18.75" x14ac:dyDescent="0.3">
      <c r="D1118" s="3">
        <f t="shared" ca="1" si="34"/>
        <v>152.71819970051951</v>
      </c>
      <c r="E1118" s="3">
        <f t="shared" ca="1" si="35"/>
        <v>52.718199700519506</v>
      </c>
    </row>
    <row r="1119" spans="4:5" ht="18.75" x14ac:dyDescent="0.3">
      <c r="D1119" s="3">
        <f t="shared" ca="1" si="34"/>
        <v>102.02311987588313</v>
      </c>
      <c r="E1119" s="3">
        <f t="shared" ca="1" si="35"/>
        <v>2.0231198758831255</v>
      </c>
    </row>
    <row r="1120" spans="4:5" ht="18.75" x14ac:dyDescent="0.3">
      <c r="D1120" s="3">
        <f t="shared" ca="1" si="34"/>
        <v>55.265796689950797</v>
      </c>
      <c r="E1120" s="3">
        <f t="shared" ca="1" si="35"/>
        <v>0</v>
      </c>
    </row>
    <row r="1121" spans="4:5" ht="18.75" x14ac:dyDescent="0.3">
      <c r="D1121" s="3">
        <f t="shared" ca="1" si="34"/>
        <v>88.24549806906559</v>
      </c>
      <c r="E1121" s="3">
        <f t="shared" ca="1" si="35"/>
        <v>0</v>
      </c>
    </row>
    <row r="1122" spans="4:5" ht="18.75" x14ac:dyDescent="0.3">
      <c r="D1122" s="3">
        <f t="shared" ca="1" si="34"/>
        <v>121.35462113093523</v>
      </c>
      <c r="E1122" s="3">
        <f t="shared" ca="1" si="35"/>
        <v>21.354621130935229</v>
      </c>
    </row>
    <row r="1123" spans="4:5" ht="18.75" x14ac:dyDescent="0.3">
      <c r="D1123" s="3">
        <f t="shared" ca="1" si="34"/>
        <v>147.31617318230082</v>
      </c>
      <c r="E1123" s="3">
        <f t="shared" ca="1" si="35"/>
        <v>47.316173182300815</v>
      </c>
    </row>
    <row r="1124" spans="4:5" ht="18.75" x14ac:dyDescent="0.3">
      <c r="D1124" s="3">
        <f t="shared" ca="1" si="34"/>
        <v>145.39935737169137</v>
      </c>
      <c r="E1124" s="3">
        <f t="shared" ca="1" si="35"/>
        <v>45.399357371691366</v>
      </c>
    </row>
    <row r="1125" spans="4:5" ht="18.75" x14ac:dyDescent="0.3">
      <c r="D1125" s="3">
        <f t="shared" ca="1" si="34"/>
        <v>122.08866723292387</v>
      </c>
      <c r="E1125" s="3">
        <f t="shared" ca="1" si="35"/>
        <v>22.088667232923868</v>
      </c>
    </row>
    <row r="1126" spans="4:5" ht="18.75" x14ac:dyDescent="0.3">
      <c r="D1126" s="3">
        <f t="shared" ca="1" si="34"/>
        <v>144.4992540410839</v>
      </c>
      <c r="E1126" s="3">
        <f t="shared" ca="1" si="35"/>
        <v>44.499254041083901</v>
      </c>
    </row>
    <row r="1127" spans="4:5" ht="18.75" x14ac:dyDescent="0.3">
      <c r="D1127" s="3">
        <f t="shared" ca="1" si="34"/>
        <v>100.77658930586293</v>
      </c>
      <c r="E1127" s="3">
        <f t="shared" ca="1" si="35"/>
        <v>0.7765893058629274</v>
      </c>
    </row>
    <row r="1128" spans="4:5" ht="18.75" x14ac:dyDescent="0.3">
      <c r="D1128" s="3">
        <f t="shared" ca="1" si="34"/>
        <v>161.01505184893077</v>
      </c>
      <c r="E1128" s="3">
        <f t="shared" ca="1" si="35"/>
        <v>61.015051848930767</v>
      </c>
    </row>
    <row r="1129" spans="4:5" ht="18.75" x14ac:dyDescent="0.3">
      <c r="D1129" s="3">
        <f t="shared" ca="1" si="34"/>
        <v>83.271298958267494</v>
      </c>
      <c r="E1129" s="3">
        <f t="shared" ca="1" si="35"/>
        <v>0</v>
      </c>
    </row>
    <row r="1130" spans="4:5" ht="18.75" x14ac:dyDescent="0.3">
      <c r="D1130" s="3">
        <f t="shared" ca="1" si="34"/>
        <v>97.783266260726307</v>
      </c>
      <c r="E1130" s="3">
        <f t="shared" ca="1" si="35"/>
        <v>0</v>
      </c>
    </row>
    <row r="1131" spans="4:5" ht="18.75" x14ac:dyDescent="0.3">
      <c r="D1131" s="3">
        <f t="shared" ca="1" si="34"/>
        <v>147.26806097772374</v>
      </c>
      <c r="E1131" s="3">
        <f t="shared" ca="1" si="35"/>
        <v>47.268060977723735</v>
      </c>
    </row>
    <row r="1132" spans="4:5" ht="18.75" x14ac:dyDescent="0.3">
      <c r="D1132" s="3">
        <f t="shared" ca="1" si="34"/>
        <v>100.46036435950467</v>
      </c>
      <c r="E1132" s="3">
        <f t="shared" ca="1" si="35"/>
        <v>0.46036435950466625</v>
      </c>
    </row>
    <row r="1133" spans="4:5" ht="18.75" x14ac:dyDescent="0.3">
      <c r="D1133" s="3">
        <f t="shared" ca="1" si="34"/>
        <v>151.75149446387036</v>
      </c>
      <c r="E1133" s="3">
        <f t="shared" ca="1" si="35"/>
        <v>51.751494463870358</v>
      </c>
    </row>
    <row r="1134" spans="4:5" ht="18.75" x14ac:dyDescent="0.3">
      <c r="D1134" s="3">
        <f t="shared" ca="1" si="34"/>
        <v>95.133926879595236</v>
      </c>
      <c r="E1134" s="3">
        <f t="shared" ca="1" si="35"/>
        <v>0</v>
      </c>
    </row>
    <row r="1135" spans="4:5" ht="18.75" x14ac:dyDescent="0.3">
      <c r="D1135" s="3">
        <f t="shared" ca="1" si="34"/>
        <v>132.75846107242501</v>
      </c>
      <c r="E1135" s="3">
        <f t="shared" ca="1" si="35"/>
        <v>32.758461072425007</v>
      </c>
    </row>
    <row r="1136" spans="4:5" ht="18.75" x14ac:dyDescent="0.3">
      <c r="D1136" s="3">
        <f t="shared" ca="1" si="34"/>
        <v>112.45887815756119</v>
      </c>
      <c r="E1136" s="3">
        <f t="shared" ca="1" si="35"/>
        <v>12.458878157561188</v>
      </c>
    </row>
    <row r="1137" spans="4:5" ht="18.75" x14ac:dyDescent="0.3">
      <c r="D1137" s="3">
        <f t="shared" ca="1" si="34"/>
        <v>163.8443052141009</v>
      </c>
      <c r="E1137" s="3">
        <f t="shared" ca="1" si="35"/>
        <v>63.844305214100899</v>
      </c>
    </row>
    <row r="1138" spans="4:5" ht="18.75" x14ac:dyDescent="0.3">
      <c r="D1138" s="3">
        <f t="shared" ca="1" si="34"/>
        <v>109.04005822524584</v>
      </c>
      <c r="E1138" s="3">
        <f t="shared" ca="1" si="35"/>
        <v>9.0400582252458435</v>
      </c>
    </row>
    <row r="1139" spans="4:5" ht="18.75" x14ac:dyDescent="0.3">
      <c r="D1139" s="3">
        <f t="shared" ca="1" si="34"/>
        <v>141.66058206669575</v>
      </c>
      <c r="E1139" s="3">
        <f t="shared" ca="1" si="35"/>
        <v>41.660582066695753</v>
      </c>
    </row>
    <row r="1140" spans="4:5" ht="18.75" x14ac:dyDescent="0.3">
      <c r="D1140" s="3">
        <f t="shared" ca="1" si="34"/>
        <v>147.52854919616723</v>
      </c>
      <c r="E1140" s="3">
        <f t="shared" ca="1" si="35"/>
        <v>47.528549196167234</v>
      </c>
    </row>
    <row r="1141" spans="4:5" ht="18.75" x14ac:dyDescent="0.3">
      <c r="D1141" s="3">
        <f t="shared" ca="1" si="34"/>
        <v>148.03749166514817</v>
      </c>
      <c r="E1141" s="3">
        <f t="shared" ca="1" si="35"/>
        <v>48.037491665148167</v>
      </c>
    </row>
    <row r="1142" spans="4:5" ht="18.75" x14ac:dyDescent="0.3">
      <c r="D1142" s="3">
        <f t="shared" ca="1" si="34"/>
        <v>78.58749647561045</v>
      </c>
      <c r="E1142" s="3">
        <f t="shared" ca="1" si="35"/>
        <v>0</v>
      </c>
    </row>
    <row r="1143" spans="4:5" ht="18.75" x14ac:dyDescent="0.3">
      <c r="D1143" s="3">
        <f t="shared" ca="1" si="34"/>
        <v>143.18097794893791</v>
      </c>
      <c r="E1143" s="3">
        <f t="shared" ca="1" si="35"/>
        <v>43.180977948937908</v>
      </c>
    </row>
    <row r="1144" spans="4:5" ht="18.75" x14ac:dyDescent="0.3">
      <c r="D1144" s="3">
        <f t="shared" ca="1" si="34"/>
        <v>85.248393713732185</v>
      </c>
      <c r="E1144" s="3">
        <f t="shared" ca="1" si="35"/>
        <v>0</v>
      </c>
    </row>
    <row r="1145" spans="4:5" ht="18.75" x14ac:dyDescent="0.3">
      <c r="D1145" s="3">
        <f t="shared" ca="1" si="34"/>
        <v>94.087799173353133</v>
      </c>
      <c r="E1145" s="3">
        <f t="shared" ca="1" si="35"/>
        <v>0</v>
      </c>
    </row>
    <row r="1146" spans="4:5" ht="18.75" x14ac:dyDescent="0.3">
      <c r="D1146" s="3">
        <f t="shared" ca="1" si="34"/>
        <v>126.35719878060803</v>
      </c>
      <c r="E1146" s="3">
        <f t="shared" ca="1" si="35"/>
        <v>26.35719878060803</v>
      </c>
    </row>
    <row r="1147" spans="4:5" ht="18.75" x14ac:dyDescent="0.3">
      <c r="D1147" s="3">
        <f t="shared" ca="1" si="34"/>
        <v>72.692988989474358</v>
      </c>
      <c r="E1147" s="3">
        <f t="shared" ca="1" si="35"/>
        <v>0</v>
      </c>
    </row>
    <row r="1148" spans="4:5" ht="18.75" x14ac:dyDescent="0.3">
      <c r="D1148" s="3">
        <f t="shared" ca="1" si="34"/>
        <v>180.21579010901479</v>
      </c>
      <c r="E1148" s="3">
        <f t="shared" ca="1" si="35"/>
        <v>80.21579010901479</v>
      </c>
    </row>
    <row r="1149" spans="4:5" ht="18.75" x14ac:dyDescent="0.3">
      <c r="D1149" s="3">
        <f t="shared" ca="1" si="34"/>
        <v>90.109015199615499</v>
      </c>
      <c r="E1149" s="3">
        <f t="shared" ca="1" si="35"/>
        <v>0</v>
      </c>
    </row>
    <row r="1150" spans="4:5" ht="18.75" x14ac:dyDescent="0.3">
      <c r="D1150" s="3">
        <f t="shared" ca="1" si="34"/>
        <v>122.5777086326503</v>
      </c>
      <c r="E1150" s="3">
        <f t="shared" ca="1" si="35"/>
        <v>22.5777086326503</v>
      </c>
    </row>
    <row r="1151" spans="4:5" ht="18.75" x14ac:dyDescent="0.3">
      <c r="D1151" s="3">
        <f t="shared" ca="1" si="34"/>
        <v>104.98241501941025</v>
      </c>
      <c r="E1151" s="3">
        <f t="shared" ca="1" si="35"/>
        <v>4.9824150194102543</v>
      </c>
    </row>
    <row r="1152" spans="4:5" ht="18.75" x14ac:dyDescent="0.3">
      <c r="D1152" s="3">
        <f t="shared" ca="1" si="34"/>
        <v>98.020790854026316</v>
      </c>
      <c r="E1152" s="3">
        <f t="shared" ca="1" si="35"/>
        <v>0</v>
      </c>
    </row>
    <row r="1153" spans="4:5" ht="18.75" x14ac:dyDescent="0.3">
      <c r="D1153" s="3">
        <f t="shared" ca="1" si="34"/>
        <v>126.60843193853042</v>
      </c>
      <c r="E1153" s="3">
        <f t="shared" ca="1" si="35"/>
        <v>26.608431938530416</v>
      </c>
    </row>
    <row r="1154" spans="4:5" ht="18.75" x14ac:dyDescent="0.3">
      <c r="D1154" s="3">
        <f t="shared" ca="1" si="34"/>
        <v>67.304201032322283</v>
      </c>
      <c r="E1154" s="3">
        <f t="shared" ca="1" si="35"/>
        <v>0</v>
      </c>
    </row>
    <row r="1155" spans="4:5" ht="18.75" x14ac:dyDescent="0.3">
      <c r="D1155" s="3">
        <f t="shared" ref="D1155:D1218" ca="1" si="36">$B$4*EXP(($B$7-$B$8*$B$8*0.5)*$B$6+$B$8*SQRT($B$6)*_xlfn.NORM.S.INV(RAND()))</f>
        <v>122.16921535169382</v>
      </c>
      <c r="E1155" s="3">
        <f t="shared" ref="E1155:E1218" ca="1" si="37">IF($B$3="call",MAX(D1155-$B$5,0),MAX($B$5-D1155,0))</f>
        <v>22.169215351693822</v>
      </c>
    </row>
    <row r="1156" spans="4:5" ht="18.75" x14ac:dyDescent="0.3">
      <c r="D1156" s="3">
        <f t="shared" ca="1" si="36"/>
        <v>122.64253796050409</v>
      </c>
      <c r="E1156" s="3">
        <f t="shared" ca="1" si="37"/>
        <v>22.642537960504086</v>
      </c>
    </row>
    <row r="1157" spans="4:5" ht="18.75" x14ac:dyDescent="0.3">
      <c r="D1157" s="3">
        <f t="shared" ca="1" si="36"/>
        <v>128.44089955248049</v>
      </c>
      <c r="E1157" s="3">
        <f t="shared" ca="1" si="37"/>
        <v>28.440899552480488</v>
      </c>
    </row>
    <row r="1158" spans="4:5" ht="18.75" x14ac:dyDescent="0.3">
      <c r="D1158" s="3">
        <f t="shared" ca="1" si="36"/>
        <v>188.12875092149466</v>
      </c>
      <c r="E1158" s="3">
        <f t="shared" ca="1" si="37"/>
        <v>88.128750921494657</v>
      </c>
    </row>
    <row r="1159" spans="4:5" ht="18.75" x14ac:dyDescent="0.3">
      <c r="D1159" s="3">
        <f t="shared" ca="1" si="36"/>
        <v>83.793823310402075</v>
      </c>
      <c r="E1159" s="3">
        <f t="shared" ca="1" si="37"/>
        <v>0</v>
      </c>
    </row>
    <row r="1160" spans="4:5" ht="18.75" x14ac:dyDescent="0.3">
      <c r="D1160" s="3">
        <f t="shared" ca="1" si="36"/>
        <v>106.70051694427734</v>
      </c>
      <c r="E1160" s="3">
        <f t="shared" ca="1" si="37"/>
        <v>6.7005169442773393</v>
      </c>
    </row>
    <row r="1161" spans="4:5" ht="18.75" x14ac:dyDescent="0.3">
      <c r="D1161" s="3">
        <f t="shared" ca="1" si="36"/>
        <v>85.332174851459015</v>
      </c>
      <c r="E1161" s="3">
        <f t="shared" ca="1" si="37"/>
        <v>0</v>
      </c>
    </row>
    <row r="1162" spans="4:5" ht="18.75" x14ac:dyDescent="0.3">
      <c r="D1162" s="3">
        <f t="shared" ca="1" si="36"/>
        <v>140.04478103094692</v>
      </c>
      <c r="E1162" s="3">
        <f t="shared" ca="1" si="37"/>
        <v>40.044781030946922</v>
      </c>
    </row>
    <row r="1163" spans="4:5" ht="18.75" x14ac:dyDescent="0.3">
      <c r="D1163" s="3">
        <f t="shared" ca="1" si="36"/>
        <v>111.17794531503966</v>
      </c>
      <c r="E1163" s="3">
        <f t="shared" ca="1" si="37"/>
        <v>11.177945315039665</v>
      </c>
    </row>
    <row r="1164" spans="4:5" ht="18.75" x14ac:dyDescent="0.3">
      <c r="D1164" s="3">
        <f t="shared" ca="1" si="36"/>
        <v>109.33456658032266</v>
      </c>
      <c r="E1164" s="3">
        <f t="shared" ca="1" si="37"/>
        <v>9.3345665803226581</v>
      </c>
    </row>
    <row r="1165" spans="4:5" ht="18.75" x14ac:dyDescent="0.3">
      <c r="D1165" s="3">
        <f t="shared" ca="1" si="36"/>
        <v>122.21216799647306</v>
      </c>
      <c r="E1165" s="3">
        <f t="shared" ca="1" si="37"/>
        <v>22.212167996473056</v>
      </c>
    </row>
    <row r="1166" spans="4:5" ht="18.75" x14ac:dyDescent="0.3">
      <c r="D1166" s="3">
        <f t="shared" ca="1" si="36"/>
        <v>114.63881959794509</v>
      </c>
      <c r="E1166" s="3">
        <f t="shared" ca="1" si="37"/>
        <v>14.638819597945087</v>
      </c>
    </row>
    <row r="1167" spans="4:5" ht="18.75" x14ac:dyDescent="0.3">
      <c r="D1167" s="3">
        <f t="shared" ca="1" si="36"/>
        <v>90.005825337253242</v>
      </c>
      <c r="E1167" s="3">
        <f t="shared" ca="1" si="37"/>
        <v>0</v>
      </c>
    </row>
    <row r="1168" spans="4:5" ht="18.75" x14ac:dyDescent="0.3">
      <c r="D1168" s="3">
        <f t="shared" ca="1" si="36"/>
        <v>93.765334024329135</v>
      </c>
      <c r="E1168" s="3">
        <f t="shared" ca="1" si="37"/>
        <v>0</v>
      </c>
    </row>
    <row r="1169" spans="4:5" ht="18.75" x14ac:dyDescent="0.3">
      <c r="D1169" s="3">
        <f t="shared" ca="1" si="36"/>
        <v>110.81945311920261</v>
      </c>
      <c r="E1169" s="3">
        <f t="shared" ca="1" si="37"/>
        <v>10.819453119202606</v>
      </c>
    </row>
    <row r="1170" spans="4:5" ht="18.75" x14ac:dyDescent="0.3">
      <c r="D1170" s="3">
        <f t="shared" ca="1" si="36"/>
        <v>92.987281642652391</v>
      </c>
      <c r="E1170" s="3">
        <f t="shared" ca="1" si="37"/>
        <v>0</v>
      </c>
    </row>
    <row r="1171" spans="4:5" ht="18.75" x14ac:dyDescent="0.3">
      <c r="D1171" s="3">
        <f t="shared" ca="1" si="36"/>
        <v>128.59769565754834</v>
      </c>
      <c r="E1171" s="3">
        <f t="shared" ca="1" si="37"/>
        <v>28.597695657548343</v>
      </c>
    </row>
    <row r="1172" spans="4:5" ht="18.75" x14ac:dyDescent="0.3">
      <c r="D1172" s="3">
        <f t="shared" ca="1" si="36"/>
        <v>76.493734505101372</v>
      </c>
      <c r="E1172" s="3">
        <f t="shared" ca="1" si="37"/>
        <v>0</v>
      </c>
    </row>
    <row r="1173" spans="4:5" ht="18.75" x14ac:dyDescent="0.3">
      <c r="D1173" s="3">
        <f t="shared" ca="1" si="36"/>
        <v>57.806560163164697</v>
      </c>
      <c r="E1173" s="3">
        <f t="shared" ca="1" si="37"/>
        <v>0</v>
      </c>
    </row>
    <row r="1174" spans="4:5" ht="18.75" x14ac:dyDescent="0.3">
      <c r="D1174" s="3">
        <f t="shared" ca="1" si="36"/>
        <v>89.429001943638823</v>
      </c>
      <c r="E1174" s="3">
        <f t="shared" ca="1" si="37"/>
        <v>0</v>
      </c>
    </row>
    <row r="1175" spans="4:5" ht="18.75" x14ac:dyDescent="0.3">
      <c r="D1175" s="3">
        <f t="shared" ca="1" si="36"/>
        <v>135.30108252996271</v>
      </c>
      <c r="E1175" s="3">
        <f t="shared" ca="1" si="37"/>
        <v>35.301082529962713</v>
      </c>
    </row>
    <row r="1176" spans="4:5" ht="18.75" x14ac:dyDescent="0.3">
      <c r="D1176" s="3">
        <f t="shared" ca="1" si="36"/>
        <v>99.230283806006881</v>
      </c>
      <c r="E1176" s="3">
        <f t="shared" ca="1" si="37"/>
        <v>0</v>
      </c>
    </row>
    <row r="1177" spans="4:5" ht="18.75" x14ac:dyDescent="0.3">
      <c r="D1177" s="3">
        <f t="shared" ca="1" si="36"/>
        <v>86.398252783840789</v>
      </c>
      <c r="E1177" s="3">
        <f t="shared" ca="1" si="37"/>
        <v>0</v>
      </c>
    </row>
    <row r="1178" spans="4:5" ht="18.75" x14ac:dyDescent="0.3">
      <c r="D1178" s="3">
        <f t="shared" ca="1" si="36"/>
        <v>139.84404834614296</v>
      </c>
      <c r="E1178" s="3">
        <f t="shared" ca="1" si="37"/>
        <v>39.844048346142955</v>
      </c>
    </row>
    <row r="1179" spans="4:5" ht="18.75" x14ac:dyDescent="0.3">
      <c r="D1179" s="3">
        <f t="shared" ca="1" si="36"/>
        <v>70.773072689921605</v>
      </c>
      <c r="E1179" s="3">
        <f t="shared" ca="1" si="37"/>
        <v>0</v>
      </c>
    </row>
    <row r="1180" spans="4:5" ht="18.75" x14ac:dyDescent="0.3">
      <c r="D1180" s="3">
        <f t="shared" ca="1" si="36"/>
        <v>131.83195986118366</v>
      </c>
      <c r="E1180" s="3">
        <f t="shared" ca="1" si="37"/>
        <v>31.831959861183662</v>
      </c>
    </row>
    <row r="1181" spans="4:5" ht="18.75" x14ac:dyDescent="0.3">
      <c r="D1181" s="3">
        <f t="shared" ca="1" si="36"/>
        <v>102.44797788011707</v>
      </c>
      <c r="E1181" s="3">
        <f t="shared" ca="1" si="37"/>
        <v>2.4479778801170653</v>
      </c>
    </row>
    <row r="1182" spans="4:5" ht="18.75" x14ac:dyDescent="0.3">
      <c r="D1182" s="3">
        <f t="shared" ca="1" si="36"/>
        <v>92.650031609664012</v>
      </c>
      <c r="E1182" s="3">
        <f t="shared" ca="1" si="37"/>
        <v>0</v>
      </c>
    </row>
    <row r="1183" spans="4:5" ht="18.75" x14ac:dyDescent="0.3">
      <c r="D1183" s="3">
        <f t="shared" ca="1" si="36"/>
        <v>159.70167272618247</v>
      </c>
      <c r="E1183" s="3">
        <f t="shared" ca="1" si="37"/>
        <v>59.701672726182466</v>
      </c>
    </row>
    <row r="1184" spans="4:5" ht="18.75" x14ac:dyDescent="0.3">
      <c r="D1184" s="3">
        <f t="shared" ca="1" si="36"/>
        <v>117.39867764093323</v>
      </c>
      <c r="E1184" s="3">
        <f t="shared" ca="1" si="37"/>
        <v>17.398677640933229</v>
      </c>
    </row>
    <row r="1185" spans="4:5" ht="18.75" x14ac:dyDescent="0.3">
      <c r="D1185" s="3">
        <f t="shared" ca="1" si="36"/>
        <v>92.825433492331655</v>
      </c>
      <c r="E1185" s="3">
        <f t="shared" ca="1" si="37"/>
        <v>0</v>
      </c>
    </row>
    <row r="1186" spans="4:5" ht="18.75" x14ac:dyDescent="0.3">
      <c r="D1186" s="3">
        <f t="shared" ca="1" si="36"/>
        <v>89.008378563621619</v>
      </c>
      <c r="E1186" s="3">
        <f t="shared" ca="1" si="37"/>
        <v>0</v>
      </c>
    </row>
    <row r="1187" spans="4:5" ht="18.75" x14ac:dyDescent="0.3">
      <c r="D1187" s="3">
        <f t="shared" ca="1" si="36"/>
        <v>124.42482965532133</v>
      </c>
      <c r="E1187" s="3">
        <f t="shared" ca="1" si="37"/>
        <v>24.424829655321332</v>
      </c>
    </row>
    <row r="1188" spans="4:5" ht="18.75" x14ac:dyDescent="0.3">
      <c r="D1188" s="3">
        <f t="shared" ca="1" si="36"/>
        <v>100.47867637687993</v>
      </c>
      <c r="E1188" s="3">
        <f t="shared" ca="1" si="37"/>
        <v>0.47867637687993181</v>
      </c>
    </row>
    <row r="1189" spans="4:5" ht="18.75" x14ac:dyDescent="0.3">
      <c r="D1189" s="3">
        <f t="shared" ca="1" si="36"/>
        <v>98.098640597303515</v>
      </c>
      <c r="E1189" s="3">
        <f t="shared" ca="1" si="37"/>
        <v>0</v>
      </c>
    </row>
    <row r="1190" spans="4:5" ht="18.75" x14ac:dyDescent="0.3">
      <c r="D1190" s="3">
        <f t="shared" ca="1" si="36"/>
        <v>85.688052290038812</v>
      </c>
      <c r="E1190" s="3">
        <f t="shared" ca="1" si="37"/>
        <v>0</v>
      </c>
    </row>
    <row r="1191" spans="4:5" ht="18.75" x14ac:dyDescent="0.3">
      <c r="D1191" s="3">
        <f t="shared" ca="1" si="36"/>
        <v>129.90369711512636</v>
      </c>
      <c r="E1191" s="3">
        <f t="shared" ca="1" si="37"/>
        <v>29.903697115126363</v>
      </c>
    </row>
    <row r="1192" spans="4:5" ht="18.75" x14ac:dyDescent="0.3">
      <c r="D1192" s="3">
        <f t="shared" ca="1" si="36"/>
        <v>175.85853529552574</v>
      </c>
      <c r="E1192" s="3">
        <f t="shared" ca="1" si="37"/>
        <v>75.858535295525741</v>
      </c>
    </row>
    <row r="1193" spans="4:5" ht="18.75" x14ac:dyDescent="0.3">
      <c r="D1193" s="3">
        <f t="shared" ca="1" si="36"/>
        <v>80.003095401103579</v>
      </c>
      <c r="E1193" s="3">
        <f t="shared" ca="1" si="37"/>
        <v>0</v>
      </c>
    </row>
    <row r="1194" spans="4:5" ht="18.75" x14ac:dyDescent="0.3">
      <c r="D1194" s="3">
        <f t="shared" ca="1" si="36"/>
        <v>99.30558282981292</v>
      </c>
      <c r="E1194" s="3">
        <f t="shared" ca="1" si="37"/>
        <v>0</v>
      </c>
    </row>
    <row r="1195" spans="4:5" ht="18.75" x14ac:dyDescent="0.3">
      <c r="D1195" s="3">
        <f t="shared" ca="1" si="36"/>
        <v>111.2179311354551</v>
      </c>
      <c r="E1195" s="3">
        <f t="shared" ca="1" si="37"/>
        <v>11.217931135455103</v>
      </c>
    </row>
    <row r="1196" spans="4:5" ht="18.75" x14ac:dyDescent="0.3">
      <c r="D1196" s="3">
        <f t="shared" ca="1" si="36"/>
        <v>80.667292008086619</v>
      </c>
      <c r="E1196" s="3">
        <f t="shared" ca="1" si="37"/>
        <v>0</v>
      </c>
    </row>
    <row r="1197" spans="4:5" ht="18.75" x14ac:dyDescent="0.3">
      <c r="D1197" s="3">
        <f t="shared" ca="1" si="36"/>
        <v>128.18848938225068</v>
      </c>
      <c r="E1197" s="3">
        <f t="shared" ca="1" si="37"/>
        <v>28.18848938225068</v>
      </c>
    </row>
    <row r="1198" spans="4:5" ht="18.75" x14ac:dyDescent="0.3">
      <c r="D1198" s="3">
        <f t="shared" ca="1" si="36"/>
        <v>164.20614179105434</v>
      </c>
      <c r="E1198" s="3">
        <f t="shared" ca="1" si="37"/>
        <v>64.206141791054335</v>
      </c>
    </row>
    <row r="1199" spans="4:5" ht="18.75" x14ac:dyDescent="0.3">
      <c r="D1199" s="3">
        <f t="shared" ca="1" si="36"/>
        <v>107.03913400671364</v>
      </c>
      <c r="E1199" s="3">
        <f t="shared" ca="1" si="37"/>
        <v>7.0391340067136383</v>
      </c>
    </row>
    <row r="1200" spans="4:5" ht="18.75" x14ac:dyDescent="0.3">
      <c r="D1200" s="3">
        <f t="shared" ca="1" si="36"/>
        <v>109.55312732729099</v>
      </c>
      <c r="E1200" s="3">
        <f t="shared" ca="1" si="37"/>
        <v>9.5531273272909942</v>
      </c>
    </row>
    <row r="1201" spans="4:5" ht="18.75" x14ac:dyDescent="0.3">
      <c r="D1201" s="3">
        <f t="shared" ca="1" si="36"/>
        <v>115.94346720186985</v>
      </c>
      <c r="E1201" s="3">
        <f t="shared" ca="1" si="37"/>
        <v>15.943467201869851</v>
      </c>
    </row>
    <row r="1202" spans="4:5" ht="18.75" x14ac:dyDescent="0.3">
      <c r="D1202" s="3">
        <f t="shared" ca="1" si="36"/>
        <v>147.8488227370394</v>
      </c>
      <c r="E1202" s="3">
        <f t="shared" ca="1" si="37"/>
        <v>47.848822737039399</v>
      </c>
    </row>
    <row r="1203" spans="4:5" ht="18.75" x14ac:dyDescent="0.3">
      <c r="D1203" s="3">
        <f t="shared" ca="1" si="36"/>
        <v>111.38210060199447</v>
      </c>
      <c r="E1203" s="3">
        <f t="shared" ca="1" si="37"/>
        <v>11.382100601994466</v>
      </c>
    </row>
    <row r="1204" spans="4:5" ht="18.75" x14ac:dyDescent="0.3">
      <c r="D1204" s="3">
        <f t="shared" ca="1" si="36"/>
        <v>134.29754628711436</v>
      </c>
      <c r="E1204" s="3">
        <f t="shared" ca="1" si="37"/>
        <v>34.297546287114358</v>
      </c>
    </row>
    <row r="1205" spans="4:5" ht="18.75" x14ac:dyDescent="0.3">
      <c r="D1205" s="3">
        <f t="shared" ca="1" si="36"/>
        <v>112.45844360017745</v>
      </c>
      <c r="E1205" s="3">
        <f t="shared" ca="1" si="37"/>
        <v>12.458443600177446</v>
      </c>
    </row>
    <row r="1206" spans="4:5" ht="18.75" x14ac:dyDescent="0.3">
      <c r="D1206" s="3">
        <f t="shared" ca="1" si="36"/>
        <v>130.62363242914961</v>
      </c>
      <c r="E1206" s="3">
        <f t="shared" ca="1" si="37"/>
        <v>30.623632429149609</v>
      </c>
    </row>
    <row r="1207" spans="4:5" ht="18.75" x14ac:dyDescent="0.3">
      <c r="D1207" s="3">
        <f t="shared" ca="1" si="36"/>
        <v>121.50048506014008</v>
      </c>
      <c r="E1207" s="3">
        <f t="shared" ca="1" si="37"/>
        <v>21.500485060140079</v>
      </c>
    </row>
    <row r="1208" spans="4:5" ht="18.75" x14ac:dyDescent="0.3">
      <c r="D1208" s="3">
        <f t="shared" ca="1" si="36"/>
        <v>102.17057034383966</v>
      </c>
      <c r="E1208" s="3">
        <f t="shared" ca="1" si="37"/>
        <v>2.1705703438396569</v>
      </c>
    </row>
    <row r="1209" spans="4:5" ht="18.75" x14ac:dyDescent="0.3">
      <c r="D1209" s="3">
        <f t="shared" ca="1" si="36"/>
        <v>111.29323773209983</v>
      </c>
      <c r="E1209" s="3">
        <f t="shared" ca="1" si="37"/>
        <v>11.293237732099826</v>
      </c>
    </row>
    <row r="1210" spans="4:5" ht="18.75" x14ac:dyDescent="0.3">
      <c r="D1210" s="3">
        <f t="shared" ca="1" si="36"/>
        <v>126.86754772444948</v>
      </c>
      <c r="E1210" s="3">
        <f t="shared" ca="1" si="37"/>
        <v>26.86754772444948</v>
      </c>
    </row>
    <row r="1211" spans="4:5" ht="18.75" x14ac:dyDescent="0.3">
      <c r="D1211" s="3">
        <f t="shared" ca="1" si="36"/>
        <v>116.42990100432688</v>
      </c>
      <c r="E1211" s="3">
        <f t="shared" ca="1" si="37"/>
        <v>16.429901004326879</v>
      </c>
    </row>
    <row r="1212" spans="4:5" ht="18.75" x14ac:dyDescent="0.3">
      <c r="D1212" s="3">
        <f t="shared" ca="1" si="36"/>
        <v>155.32066244191805</v>
      </c>
      <c r="E1212" s="3">
        <f t="shared" ca="1" si="37"/>
        <v>55.320662441918046</v>
      </c>
    </row>
    <row r="1213" spans="4:5" ht="18.75" x14ac:dyDescent="0.3">
      <c r="D1213" s="3">
        <f t="shared" ca="1" si="36"/>
        <v>175.70106272142982</v>
      </c>
      <c r="E1213" s="3">
        <f t="shared" ca="1" si="37"/>
        <v>75.701062721429821</v>
      </c>
    </row>
    <row r="1214" spans="4:5" ht="18.75" x14ac:dyDescent="0.3">
      <c r="D1214" s="3">
        <f t="shared" ca="1" si="36"/>
        <v>143.24557288222755</v>
      </c>
      <c r="E1214" s="3">
        <f t="shared" ca="1" si="37"/>
        <v>43.245572882227549</v>
      </c>
    </row>
    <row r="1215" spans="4:5" ht="18.75" x14ac:dyDescent="0.3">
      <c r="D1215" s="3">
        <f t="shared" ca="1" si="36"/>
        <v>207.95742959659248</v>
      </c>
      <c r="E1215" s="3">
        <f t="shared" ca="1" si="37"/>
        <v>107.95742959659248</v>
      </c>
    </row>
    <row r="1216" spans="4:5" ht="18.75" x14ac:dyDescent="0.3">
      <c r="D1216" s="3">
        <f t="shared" ca="1" si="36"/>
        <v>178.85100675635749</v>
      </c>
      <c r="E1216" s="3">
        <f t="shared" ca="1" si="37"/>
        <v>78.851006756357492</v>
      </c>
    </row>
    <row r="1217" spans="4:5" ht="18.75" x14ac:dyDescent="0.3">
      <c r="D1217" s="3">
        <f t="shared" ca="1" si="36"/>
        <v>101.21535625675193</v>
      </c>
      <c r="E1217" s="3">
        <f t="shared" ca="1" si="37"/>
        <v>1.2153562567519316</v>
      </c>
    </row>
    <row r="1218" spans="4:5" ht="18.75" x14ac:dyDescent="0.3">
      <c r="D1218" s="3">
        <f t="shared" ca="1" si="36"/>
        <v>158.51054812502758</v>
      </c>
      <c r="E1218" s="3">
        <f t="shared" ca="1" si="37"/>
        <v>58.510548125027583</v>
      </c>
    </row>
    <row r="1219" spans="4:5" ht="18.75" x14ac:dyDescent="0.3">
      <c r="D1219" s="3">
        <f t="shared" ref="D1219:D1282" ca="1" si="38">$B$4*EXP(($B$7-$B$8*$B$8*0.5)*$B$6+$B$8*SQRT($B$6)*_xlfn.NORM.S.INV(RAND()))</f>
        <v>151.62846154165388</v>
      </c>
      <c r="E1219" s="3">
        <f t="shared" ref="E1219:E1282" ca="1" si="39">IF($B$3="call",MAX(D1219-$B$5,0),MAX($B$5-D1219,0))</f>
        <v>51.628461541653877</v>
      </c>
    </row>
    <row r="1220" spans="4:5" ht="18.75" x14ac:dyDescent="0.3">
      <c r="D1220" s="3">
        <f t="shared" ca="1" si="38"/>
        <v>82.051511655213332</v>
      </c>
      <c r="E1220" s="3">
        <f t="shared" ca="1" si="39"/>
        <v>0</v>
      </c>
    </row>
    <row r="1221" spans="4:5" ht="18.75" x14ac:dyDescent="0.3">
      <c r="D1221" s="3">
        <f t="shared" ca="1" si="38"/>
        <v>111.76034488241413</v>
      </c>
      <c r="E1221" s="3">
        <f t="shared" ca="1" si="39"/>
        <v>11.760344882414131</v>
      </c>
    </row>
    <row r="1222" spans="4:5" ht="18.75" x14ac:dyDescent="0.3">
      <c r="D1222" s="3">
        <f t="shared" ca="1" si="38"/>
        <v>154.56002902034299</v>
      </c>
      <c r="E1222" s="3">
        <f t="shared" ca="1" si="39"/>
        <v>54.560029020342995</v>
      </c>
    </row>
    <row r="1223" spans="4:5" ht="18.75" x14ac:dyDescent="0.3">
      <c r="D1223" s="3">
        <f t="shared" ca="1" si="38"/>
        <v>134.46970371707064</v>
      </c>
      <c r="E1223" s="3">
        <f t="shared" ca="1" si="39"/>
        <v>34.469703717070644</v>
      </c>
    </row>
    <row r="1224" spans="4:5" ht="18.75" x14ac:dyDescent="0.3">
      <c r="D1224" s="3">
        <f t="shared" ca="1" si="38"/>
        <v>101.47617385335414</v>
      </c>
      <c r="E1224" s="3">
        <f t="shared" ca="1" si="39"/>
        <v>1.4761738533541404</v>
      </c>
    </row>
    <row r="1225" spans="4:5" ht="18.75" x14ac:dyDescent="0.3">
      <c r="D1225" s="3">
        <f t="shared" ca="1" si="38"/>
        <v>119.14215504832089</v>
      </c>
      <c r="E1225" s="3">
        <f t="shared" ca="1" si="39"/>
        <v>19.142155048320888</v>
      </c>
    </row>
    <row r="1226" spans="4:5" ht="18.75" x14ac:dyDescent="0.3">
      <c r="D1226" s="3">
        <f t="shared" ca="1" si="38"/>
        <v>158.05801406535633</v>
      </c>
      <c r="E1226" s="3">
        <f t="shared" ca="1" si="39"/>
        <v>58.058014065356332</v>
      </c>
    </row>
    <row r="1227" spans="4:5" ht="18.75" x14ac:dyDescent="0.3">
      <c r="D1227" s="3">
        <f t="shared" ca="1" si="38"/>
        <v>106.63243164245431</v>
      </c>
      <c r="E1227" s="3">
        <f t="shared" ca="1" si="39"/>
        <v>6.6324316424543071</v>
      </c>
    </row>
    <row r="1228" spans="4:5" ht="18.75" x14ac:dyDescent="0.3">
      <c r="D1228" s="3">
        <f t="shared" ca="1" si="38"/>
        <v>106.9929075667162</v>
      </c>
      <c r="E1228" s="3">
        <f t="shared" ca="1" si="39"/>
        <v>6.9929075667161982</v>
      </c>
    </row>
    <row r="1229" spans="4:5" ht="18.75" x14ac:dyDescent="0.3">
      <c r="D1229" s="3">
        <f t="shared" ca="1" si="38"/>
        <v>101.44853716934202</v>
      </c>
      <c r="E1229" s="3">
        <f t="shared" ca="1" si="39"/>
        <v>1.4485371693420177</v>
      </c>
    </row>
    <row r="1230" spans="4:5" ht="18.75" x14ac:dyDescent="0.3">
      <c r="D1230" s="3">
        <f t="shared" ca="1" si="38"/>
        <v>146.65714115766019</v>
      </c>
      <c r="E1230" s="3">
        <f t="shared" ca="1" si="39"/>
        <v>46.657141157660192</v>
      </c>
    </row>
    <row r="1231" spans="4:5" ht="18.75" x14ac:dyDescent="0.3">
      <c r="D1231" s="3">
        <f t="shared" ca="1" si="38"/>
        <v>80.545487174091548</v>
      </c>
      <c r="E1231" s="3">
        <f t="shared" ca="1" si="39"/>
        <v>0</v>
      </c>
    </row>
    <row r="1232" spans="4:5" ht="18.75" x14ac:dyDescent="0.3">
      <c r="D1232" s="3">
        <f t="shared" ca="1" si="38"/>
        <v>151.03054025621077</v>
      </c>
      <c r="E1232" s="3">
        <f t="shared" ca="1" si="39"/>
        <v>51.03054025621077</v>
      </c>
    </row>
    <row r="1233" spans="4:5" ht="18.75" x14ac:dyDescent="0.3">
      <c r="D1233" s="3">
        <f t="shared" ca="1" si="38"/>
        <v>139.2413562408484</v>
      </c>
      <c r="E1233" s="3">
        <f t="shared" ca="1" si="39"/>
        <v>39.241356240848404</v>
      </c>
    </row>
    <row r="1234" spans="4:5" ht="18.75" x14ac:dyDescent="0.3">
      <c r="D1234" s="3">
        <f t="shared" ca="1" si="38"/>
        <v>160.24209879757248</v>
      </c>
      <c r="E1234" s="3">
        <f t="shared" ca="1" si="39"/>
        <v>60.242098797572481</v>
      </c>
    </row>
    <row r="1235" spans="4:5" ht="18.75" x14ac:dyDescent="0.3">
      <c r="D1235" s="3">
        <f t="shared" ca="1" si="38"/>
        <v>98.838758174631934</v>
      </c>
      <c r="E1235" s="3">
        <f t="shared" ca="1" si="39"/>
        <v>0</v>
      </c>
    </row>
    <row r="1236" spans="4:5" ht="18.75" x14ac:dyDescent="0.3">
      <c r="D1236" s="3">
        <f t="shared" ca="1" si="38"/>
        <v>75.224250006602659</v>
      </c>
      <c r="E1236" s="3">
        <f t="shared" ca="1" si="39"/>
        <v>0</v>
      </c>
    </row>
    <row r="1237" spans="4:5" ht="18.75" x14ac:dyDescent="0.3">
      <c r="D1237" s="3">
        <f t="shared" ca="1" si="38"/>
        <v>70.787209251531635</v>
      </c>
      <c r="E1237" s="3">
        <f t="shared" ca="1" si="39"/>
        <v>0</v>
      </c>
    </row>
    <row r="1238" spans="4:5" ht="18.75" x14ac:dyDescent="0.3">
      <c r="D1238" s="3">
        <f t="shared" ca="1" si="38"/>
        <v>96.714444370313942</v>
      </c>
      <c r="E1238" s="3">
        <f t="shared" ca="1" si="39"/>
        <v>0</v>
      </c>
    </row>
    <row r="1239" spans="4:5" ht="18.75" x14ac:dyDescent="0.3">
      <c r="D1239" s="3">
        <f t="shared" ca="1" si="38"/>
        <v>112.1545922873953</v>
      </c>
      <c r="E1239" s="3">
        <f t="shared" ca="1" si="39"/>
        <v>12.154592287395303</v>
      </c>
    </row>
    <row r="1240" spans="4:5" ht="18.75" x14ac:dyDescent="0.3">
      <c r="D1240" s="3">
        <f t="shared" ca="1" si="38"/>
        <v>147.59005425018589</v>
      </c>
      <c r="E1240" s="3">
        <f t="shared" ca="1" si="39"/>
        <v>47.590054250185887</v>
      </c>
    </row>
    <row r="1241" spans="4:5" ht="18.75" x14ac:dyDescent="0.3">
      <c r="D1241" s="3">
        <f t="shared" ca="1" si="38"/>
        <v>148.9830076061441</v>
      </c>
      <c r="E1241" s="3">
        <f t="shared" ca="1" si="39"/>
        <v>48.983007606144099</v>
      </c>
    </row>
    <row r="1242" spans="4:5" ht="18.75" x14ac:dyDescent="0.3">
      <c r="D1242" s="3">
        <f t="shared" ca="1" si="38"/>
        <v>66.847697413888454</v>
      </c>
      <c r="E1242" s="3">
        <f t="shared" ca="1" si="39"/>
        <v>0</v>
      </c>
    </row>
    <row r="1243" spans="4:5" ht="18.75" x14ac:dyDescent="0.3">
      <c r="D1243" s="3">
        <f t="shared" ca="1" si="38"/>
        <v>134.26878863319064</v>
      </c>
      <c r="E1243" s="3">
        <f t="shared" ca="1" si="39"/>
        <v>34.268788633190638</v>
      </c>
    </row>
    <row r="1244" spans="4:5" ht="18.75" x14ac:dyDescent="0.3">
      <c r="D1244" s="3">
        <f t="shared" ca="1" si="38"/>
        <v>121.29328173123663</v>
      </c>
      <c r="E1244" s="3">
        <f t="shared" ca="1" si="39"/>
        <v>21.293281731236632</v>
      </c>
    </row>
    <row r="1245" spans="4:5" ht="18.75" x14ac:dyDescent="0.3">
      <c r="D1245" s="3">
        <f t="shared" ca="1" si="38"/>
        <v>76.920530997251916</v>
      </c>
      <c r="E1245" s="3">
        <f t="shared" ca="1" si="39"/>
        <v>0</v>
      </c>
    </row>
    <row r="1246" spans="4:5" ht="18.75" x14ac:dyDescent="0.3">
      <c r="D1246" s="3">
        <f t="shared" ca="1" si="38"/>
        <v>114.97534538727763</v>
      </c>
      <c r="E1246" s="3">
        <f t="shared" ca="1" si="39"/>
        <v>14.975345387277628</v>
      </c>
    </row>
    <row r="1247" spans="4:5" ht="18.75" x14ac:dyDescent="0.3">
      <c r="D1247" s="3">
        <f t="shared" ca="1" si="38"/>
        <v>90.384343346062295</v>
      </c>
      <c r="E1247" s="3">
        <f t="shared" ca="1" si="39"/>
        <v>0</v>
      </c>
    </row>
    <row r="1248" spans="4:5" ht="18.75" x14ac:dyDescent="0.3">
      <c r="D1248" s="3">
        <f t="shared" ca="1" si="38"/>
        <v>138.88477501251859</v>
      </c>
      <c r="E1248" s="3">
        <f t="shared" ca="1" si="39"/>
        <v>38.884775012518588</v>
      </c>
    </row>
    <row r="1249" spans="4:5" ht="18.75" x14ac:dyDescent="0.3">
      <c r="D1249" s="3">
        <f t="shared" ca="1" si="38"/>
        <v>169.02817085263976</v>
      </c>
      <c r="E1249" s="3">
        <f t="shared" ca="1" si="39"/>
        <v>69.028170852639761</v>
      </c>
    </row>
    <row r="1250" spans="4:5" ht="18.75" x14ac:dyDescent="0.3">
      <c r="D1250" s="3">
        <f t="shared" ca="1" si="38"/>
        <v>144.36713355836523</v>
      </c>
      <c r="E1250" s="3">
        <f t="shared" ca="1" si="39"/>
        <v>44.367133558365225</v>
      </c>
    </row>
    <row r="1251" spans="4:5" ht="18.75" x14ac:dyDescent="0.3">
      <c r="D1251" s="3">
        <f t="shared" ca="1" si="38"/>
        <v>62.323434816354059</v>
      </c>
      <c r="E1251" s="3">
        <f t="shared" ca="1" si="39"/>
        <v>0</v>
      </c>
    </row>
    <row r="1252" spans="4:5" ht="18.75" x14ac:dyDescent="0.3">
      <c r="D1252" s="3">
        <f t="shared" ca="1" si="38"/>
        <v>87.686759811926223</v>
      </c>
      <c r="E1252" s="3">
        <f t="shared" ca="1" si="39"/>
        <v>0</v>
      </c>
    </row>
    <row r="1253" spans="4:5" ht="18.75" x14ac:dyDescent="0.3">
      <c r="D1253" s="3">
        <f t="shared" ca="1" si="38"/>
        <v>162.41627350819221</v>
      </c>
      <c r="E1253" s="3">
        <f t="shared" ca="1" si="39"/>
        <v>62.416273508192205</v>
      </c>
    </row>
    <row r="1254" spans="4:5" ht="18.75" x14ac:dyDescent="0.3">
      <c r="D1254" s="3">
        <f t="shared" ca="1" si="38"/>
        <v>180.07222506674566</v>
      </c>
      <c r="E1254" s="3">
        <f t="shared" ca="1" si="39"/>
        <v>80.072225066745659</v>
      </c>
    </row>
    <row r="1255" spans="4:5" ht="18.75" x14ac:dyDescent="0.3">
      <c r="D1255" s="3">
        <f t="shared" ca="1" si="38"/>
        <v>112.15458496904409</v>
      </c>
      <c r="E1255" s="3">
        <f t="shared" ca="1" si="39"/>
        <v>12.154584969044095</v>
      </c>
    </row>
    <row r="1256" spans="4:5" ht="18.75" x14ac:dyDescent="0.3">
      <c r="D1256" s="3">
        <f t="shared" ca="1" si="38"/>
        <v>113.17566255039844</v>
      </c>
      <c r="E1256" s="3">
        <f t="shared" ca="1" si="39"/>
        <v>13.175662550398442</v>
      </c>
    </row>
    <row r="1257" spans="4:5" ht="18.75" x14ac:dyDescent="0.3">
      <c r="D1257" s="3">
        <f t="shared" ca="1" si="38"/>
        <v>88.611808633156969</v>
      </c>
      <c r="E1257" s="3">
        <f t="shared" ca="1" si="39"/>
        <v>0</v>
      </c>
    </row>
    <row r="1258" spans="4:5" ht="18.75" x14ac:dyDescent="0.3">
      <c r="D1258" s="3">
        <f t="shared" ca="1" si="38"/>
        <v>62.882044241618786</v>
      </c>
      <c r="E1258" s="3">
        <f t="shared" ca="1" si="39"/>
        <v>0</v>
      </c>
    </row>
    <row r="1259" spans="4:5" ht="18.75" x14ac:dyDescent="0.3">
      <c r="D1259" s="3">
        <f t="shared" ca="1" si="38"/>
        <v>103.24949483759818</v>
      </c>
      <c r="E1259" s="3">
        <f t="shared" ca="1" si="39"/>
        <v>3.2494948375981778</v>
      </c>
    </row>
    <row r="1260" spans="4:5" ht="18.75" x14ac:dyDescent="0.3">
      <c r="D1260" s="3">
        <f t="shared" ca="1" si="38"/>
        <v>65.701659238612805</v>
      </c>
      <c r="E1260" s="3">
        <f t="shared" ca="1" si="39"/>
        <v>0</v>
      </c>
    </row>
    <row r="1261" spans="4:5" ht="18.75" x14ac:dyDescent="0.3">
      <c r="D1261" s="3">
        <f t="shared" ca="1" si="38"/>
        <v>128.3423614345339</v>
      </c>
      <c r="E1261" s="3">
        <f t="shared" ca="1" si="39"/>
        <v>28.342361434533899</v>
      </c>
    </row>
    <row r="1262" spans="4:5" ht="18.75" x14ac:dyDescent="0.3">
      <c r="D1262" s="3">
        <f t="shared" ca="1" si="38"/>
        <v>185.93958541232647</v>
      </c>
      <c r="E1262" s="3">
        <f t="shared" ca="1" si="39"/>
        <v>85.939585412326466</v>
      </c>
    </row>
    <row r="1263" spans="4:5" ht="18.75" x14ac:dyDescent="0.3">
      <c r="D1263" s="3">
        <f t="shared" ca="1" si="38"/>
        <v>105.55968504439579</v>
      </c>
      <c r="E1263" s="3">
        <f t="shared" ca="1" si="39"/>
        <v>5.5596850443957919</v>
      </c>
    </row>
    <row r="1264" spans="4:5" ht="18.75" x14ac:dyDescent="0.3">
      <c r="D1264" s="3">
        <f t="shared" ca="1" si="38"/>
        <v>91.027729651811768</v>
      </c>
      <c r="E1264" s="3">
        <f t="shared" ca="1" si="39"/>
        <v>0</v>
      </c>
    </row>
    <row r="1265" spans="4:5" ht="18.75" x14ac:dyDescent="0.3">
      <c r="D1265" s="3">
        <f t="shared" ca="1" si="38"/>
        <v>138.56449092443415</v>
      </c>
      <c r="E1265" s="3">
        <f t="shared" ca="1" si="39"/>
        <v>38.564490924434153</v>
      </c>
    </row>
    <row r="1266" spans="4:5" ht="18.75" x14ac:dyDescent="0.3">
      <c r="D1266" s="3">
        <f t="shared" ca="1" si="38"/>
        <v>88.384114517175689</v>
      </c>
      <c r="E1266" s="3">
        <f t="shared" ca="1" si="39"/>
        <v>0</v>
      </c>
    </row>
    <row r="1267" spans="4:5" ht="18.75" x14ac:dyDescent="0.3">
      <c r="D1267" s="3">
        <f t="shared" ca="1" si="38"/>
        <v>86.689476600341848</v>
      </c>
      <c r="E1267" s="3">
        <f t="shared" ca="1" si="39"/>
        <v>0</v>
      </c>
    </row>
    <row r="1268" spans="4:5" ht="18.75" x14ac:dyDescent="0.3">
      <c r="D1268" s="3">
        <f t="shared" ca="1" si="38"/>
        <v>131.96901843105397</v>
      </c>
      <c r="E1268" s="3">
        <f t="shared" ca="1" si="39"/>
        <v>31.969018431053968</v>
      </c>
    </row>
    <row r="1269" spans="4:5" ht="18.75" x14ac:dyDescent="0.3">
      <c r="D1269" s="3">
        <f t="shared" ca="1" si="38"/>
        <v>82.482471282271462</v>
      </c>
      <c r="E1269" s="3">
        <f t="shared" ca="1" si="39"/>
        <v>0</v>
      </c>
    </row>
    <row r="1270" spans="4:5" ht="18.75" x14ac:dyDescent="0.3">
      <c r="D1270" s="3">
        <f t="shared" ca="1" si="38"/>
        <v>131.39346753052726</v>
      </c>
      <c r="E1270" s="3">
        <f t="shared" ca="1" si="39"/>
        <v>31.393467530527261</v>
      </c>
    </row>
    <row r="1271" spans="4:5" ht="18.75" x14ac:dyDescent="0.3">
      <c r="D1271" s="3">
        <f t="shared" ca="1" si="38"/>
        <v>218.28864259073222</v>
      </c>
      <c r="E1271" s="3">
        <f t="shared" ca="1" si="39"/>
        <v>118.28864259073222</v>
      </c>
    </row>
    <row r="1272" spans="4:5" ht="18.75" x14ac:dyDescent="0.3">
      <c r="D1272" s="3">
        <f t="shared" ca="1" si="38"/>
        <v>93.669853373075711</v>
      </c>
      <c r="E1272" s="3">
        <f t="shared" ca="1" si="39"/>
        <v>0</v>
      </c>
    </row>
    <row r="1273" spans="4:5" ht="18.75" x14ac:dyDescent="0.3">
      <c r="D1273" s="3">
        <f t="shared" ca="1" si="38"/>
        <v>122.30178766830375</v>
      </c>
      <c r="E1273" s="3">
        <f t="shared" ca="1" si="39"/>
        <v>22.301787668303746</v>
      </c>
    </row>
    <row r="1274" spans="4:5" ht="18.75" x14ac:dyDescent="0.3">
      <c r="D1274" s="3">
        <f t="shared" ca="1" si="38"/>
        <v>81.199274852959263</v>
      </c>
      <c r="E1274" s="3">
        <f t="shared" ca="1" si="39"/>
        <v>0</v>
      </c>
    </row>
    <row r="1275" spans="4:5" ht="18.75" x14ac:dyDescent="0.3">
      <c r="D1275" s="3">
        <f t="shared" ca="1" si="38"/>
        <v>84.489537531547825</v>
      </c>
      <c r="E1275" s="3">
        <f t="shared" ca="1" si="39"/>
        <v>0</v>
      </c>
    </row>
    <row r="1276" spans="4:5" ht="18.75" x14ac:dyDescent="0.3">
      <c r="D1276" s="3">
        <f t="shared" ca="1" si="38"/>
        <v>102.89118542593076</v>
      </c>
      <c r="E1276" s="3">
        <f t="shared" ca="1" si="39"/>
        <v>2.8911854259307574</v>
      </c>
    </row>
    <row r="1277" spans="4:5" ht="18.75" x14ac:dyDescent="0.3">
      <c r="D1277" s="3">
        <f t="shared" ca="1" si="38"/>
        <v>149.23162684412017</v>
      </c>
      <c r="E1277" s="3">
        <f t="shared" ca="1" si="39"/>
        <v>49.231626844120171</v>
      </c>
    </row>
    <row r="1278" spans="4:5" ht="18.75" x14ac:dyDescent="0.3">
      <c r="D1278" s="3">
        <f t="shared" ca="1" si="38"/>
        <v>133.4467843546982</v>
      </c>
      <c r="E1278" s="3">
        <f t="shared" ca="1" si="39"/>
        <v>33.446784354698195</v>
      </c>
    </row>
    <row r="1279" spans="4:5" ht="18.75" x14ac:dyDescent="0.3">
      <c r="D1279" s="3">
        <f t="shared" ca="1" si="38"/>
        <v>90.57048842148447</v>
      </c>
      <c r="E1279" s="3">
        <f t="shared" ca="1" si="39"/>
        <v>0</v>
      </c>
    </row>
    <row r="1280" spans="4:5" ht="18.75" x14ac:dyDescent="0.3">
      <c r="D1280" s="3">
        <f t="shared" ca="1" si="38"/>
        <v>94.623014984796185</v>
      </c>
      <c r="E1280" s="3">
        <f t="shared" ca="1" si="39"/>
        <v>0</v>
      </c>
    </row>
    <row r="1281" spans="4:5" ht="18.75" x14ac:dyDescent="0.3">
      <c r="D1281" s="3">
        <f t="shared" ca="1" si="38"/>
        <v>132.39154584065656</v>
      </c>
      <c r="E1281" s="3">
        <f t="shared" ca="1" si="39"/>
        <v>32.391545840656562</v>
      </c>
    </row>
    <row r="1282" spans="4:5" ht="18.75" x14ac:dyDescent="0.3">
      <c r="D1282" s="3">
        <f t="shared" ca="1" si="38"/>
        <v>121.90232062597677</v>
      </c>
      <c r="E1282" s="3">
        <f t="shared" ca="1" si="39"/>
        <v>21.90232062597677</v>
      </c>
    </row>
    <row r="1283" spans="4:5" ht="18.75" x14ac:dyDescent="0.3">
      <c r="D1283" s="3">
        <f t="shared" ref="D1283:D1346" ca="1" si="40">$B$4*EXP(($B$7-$B$8*$B$8*0.5)*$B$6+$B$8*SQRT($B$6)*_xlfn.NORM.S.INV(RAND()))</f>
        <v>77.918622185928783</v>
      </c>
      <c r="E1283" s="3">
        <f t="shared" ref="E1283:E1346" ca="1" si="41">IF($B$3="call",MAX(D1283-$B$5,0),MAX($B$5-D1283,0))</f>
        <v>0</v>
      </c>
    </row>
    <row r="1284" spans="4:5" ht="18.75" x14ac:dyDescent="0.3">
      <c r="D1284" s="3">
        <f t="shared" ca="1" si="40"/>
        <v>72.527278694097134</v>
      </c>
      <c r="E1284" s="3">
        <f t="shared" ca="1" si="41"/>
        <v>0</v>
      </c>
    </row>
    <row r="1285" spans="4:5" ht="18.75" x14ac:dyDescent="0.3">
      <c r="D1285" s="3">
        <f t="shared" ca="1" si="40"/>
        <v>109.48689044303059</v>
      </c>
      <c r="E1285" s="3">
        <f t="shared" ca="1" si="41"/>
        <v>9.4868904430305889</v>
      </c>
    </row>
    <row r="1286" spans="4:5" ht="18.75" x14ac:dyDescent="0.3">
      <c r="D1286" s="3">
        <f t="shared" ca="1" si="40"/>
        <v>138.86576594564642</v>
      </c>
      <c r="E1286" s="3">
        <f t="shared" ca="1" si="41"/>
        <v>38.865765945646416</v>
      </c>
    </row>
    <row r="1287" spans="4:5" ht="18.75" x14ac:dyDescent="0.3">
      <c r="D1287" s="3">
        <f t="shared" ca="1" si="40"/>
        <v>114.16555281827603</v>
      </c>
      <c r="E1287" s="3">
        <f t="shared" ca="1" si="41"/>
        <v>14.165552818276026</v>
      </c>
    </row>
    <row r="1288" spans="4:5" ht="18.75" x14ac:dyDescent="0.3">
      <c r="D1288" s="3">
        <f t="shared" ca="1" si="40"/>
        <v>86.319572192283488</v>
      </c>
      <c r="E1288" s="3">
        <f t="shared" ca="1" si="41"/>
        <v>0</v>
      </c>
    </row>
    <row r="1289" spans="4:5" ht="18.75" x14ac:dyDescent="0.3">
      <c r="D1289" s="3">
        <f t="shared" ca="1" si="40"/>
        <v>120.20436260107603</v>
      </c>
      <c r="E1289" s="3">
        <f t="shared" ca="1" si="41"/>
        <v>20.204362601076028</v>
      </c>
    </row>
    <row r="1290" spans="4:5" ht="18.75" x14ac:dyDescent="0.3">
      <c r="D1290" s="3">
        <f t="shared" ca="1" si="40"/>
        <v>148.85506406272484</v>
      </c>
      <c r="E1290" s="3">
        <f t="shared" ca="1" si="41"/>
        <v>48.855064062724836</v>
      </c>
    </row>
    <row r="1291" spans="4:5" ht="18.75" x14ac:dyDescent="0.3">
      <c r="D1291" s="3">
        <f t="shared" ca="1" si="40"/>
        <v>155.27205116512025</v>
      </c>
      <c r="E1291" s="3">
        <f t="shared" ca="1" si="41"/>
        <v>55.272051165120246</v>
      </c>
    </row>
    <row r="1292" spans="4:5" ht="18.75" x14ac:dyDescent="0.3">
      <c r="D1292" s="3">
        <f t="shared" ca="1" si="40"/>
        <v>175.97894955178776</v>
      </c>
      <c r="E1292" s="3">
        <f t="shared" ca="1" si="41"/>
        <v>75.978949551787764</v>
      </c>
    </row>
    <row r="1293" spans="4:5" ht="18.75" x14ac:dyDescent="0.3">
      <c r="D1293" s="3">
        <f t="shared" ca="1" si="40"/>
        <v>95.183774583359323</v>
      </c>
      <c r="E1293" s="3">
        <f t="shared" ca="1" si="41"/>
        <v>0</v>
      </c>
    </row>
    <row r="1294" spans="4:5" ht="18.75" x14ac:dyDescent="0.3">
      <c r="D1294" s="3">
        <f t="shared" ca="1" si="40"/>
        <v>155.64813824052612</v>
      </c>
      <c r="E1294" s="3">
        <f t="shared" ca="1" si="41"/>
        <v>55.648138240526123</v>
      </c>
    </row>
    <row r="1295" spans="4:5" ht="18.75" x14ac:dyDescent="0.3">
      <c r="D1295" s="3">
        <f t="shared" ca="1" si="40"/>
        <v>89.834202075883283</v>
      </c>
      <c r="E1295" s="3">
        <f t="shared" ca="1" si="41"/>
        <v>0</v>
      </c>
    </row>
    <row r="1296" spans="4:5" ht="18.75" x14ac:dyDescent="0.3">
      <c r="D1296" s="3">
        <f t="shared" ca="1" si="40"/>
        <v>104.12745569075319</v>
      </c>
      <c r="E1296" s="3">
        <f t="shared" ca="1" si="41"/>
        <v>4.1274556907531945</v>
      </c>
    </row>
    <row r="1297" spans="4:5" ht="18.75" x14ac:dyDescent="0.3">
      <c r="D1297" s="3">
        <f t="shared" ca="1" si="40"/>
        <v>117.53266033023834</v>
      </c>
      <c r="E1297" s="3">
        <f t="shared" ca="1" si="41"/>
        <v>17.532660330238343</v>
      </c>
    </row>
    <row r="1298" spans="4:5" ht="18.75" x14ac:dyDescent="0.3">
      <c r="D1298" s="3">
        <f t="shared" ca="1" si="40"/>
        <v>82.453459219030307</v>
      </c>
      <c r="E1298" s="3">
        <f t="shared" ca="1" si="41"/>
        <v>0</v>
      </c>
    </row>
    <row r="1299" spans="4:5" ht="18.75" x14ac:dyDescent="0.3">
      <c r="D1299" s="3">
        <f t="shared" ca="1" si="40"/>
        <v>201.94028188863368</v>
      </c>
      <c r="E1299" s="3">
        <f t="shared" ca="1" si="41"/>
        <v>101.94028188863368</v>
      </c>
    </row>
    <row r="1300" spans="4:5" ht="18.75" x14ac:dyDescent="0.3">
      <c r="D1300" s="3">
        <f t="shared" ca="1" si="40"/>
        <v>103.85200676681548</v>
      </c>
      <c r="E1300" s="3">
        <f t="shared" ca="1" si="41"/>
        <v>3.852006766815478</v>
      </c>
    </row>
    <row r="1301" spans="4:5" ht="18.75" x14ac:dyDescent="0.3">
      <c r="D1301" s="3">
        <f t="shared" ca="1" si="40"/>
        <v>135.89265779429579</v>
      </c>
      <c r="E1301" s="3">
        <f t="shared" ca="1" si="41"/>
        <v>35.892657794295786</v>
      </c>
    </row>
    <row r="1302" spans="4:5" ht="18.75" x14ac:dyDescent="0.3">
      <c r="D1302" s="3">
        <f t="shared" ca="1" si="40"/>
        <v>144.71594603891046</v>
      </c>
      <c r="E1302" s="3">
        <f t="shared" ca="1" si="41"/>
        <v>44.715946038910459</v>
      </c>
    </row>
    <row r="1303" spans="4:5" ht="18.75" x14ac:dyDescent="0.3">
      <c r="D1303" s="3">
        <f t="shared" ca="1" si="40"/>
        <v>105.46276971788944</v>
      </c>
      <c r="E1303" s="3">
        <f t="shared" ca="1" si="41"/>
        <v>5.4627697178894437</v>
      </c>
    </row>
    <row r="1304" spans="4:5" ht="18.75" x14ac:dyDescent="0.3">
      <c r="D1304" s="3">
        <f t="shared" ca="1" si="40"/>
        <v>112.35199107198513</v>
      </c>
      <c r="E1304" s="3">
        <f t="shared" ca="1" si="41"/>
        <v>12.351991071985125</v>
      </c>
    </row>
    <row r="1305" spans="4:5" ht="18.75" x14ac:dyDescent="0.3">
      <c r="D1305" s="3">
        <f t="shared" ca="1" si="40"/>
        <v>155.39002386841634</v>
      </c>
      <c r="E1305" s="3">
        <f t="shared" ca="1" si="41"/>
        <v>55.390023868416336</v>
      </c>
    </row>
    <row r="1306" spans="4:5" ht="18.75" x14ac:dyDescent="0.3">
      <c r="D1306" s="3">
        <f t="shared" ca="1" si="40"/>
        <v>87.790408061627147</v>
      </c>
      <c r="E1306" s="3">
        <f t="shared" ca="1" si="41"/>
        <v>0</v>
      </c>
    </row>
    <row r="1307" spans="4:5" ht="18.75" x14ac:dyDescent="0.3">
      <c r="D1307" s="3">
        <f t="shared" ca="1" si="40"/>
        <v>127.71794370442662</v>
      </c>
      <c r="E1307" s="3">
        <f t="shared" ca="1" si="41"/>
        <v>27.717943704426617</v>
      </c>
    </row>
    <row r="1308" spans="4:5" ht="18.75" x14ac:dyDescent="0.3">
      <c r="D1308" s="3">
        <f t="shared" ca="1" si="40"/>
        <v>88.234864918886572</v>
      </c>
      <c r="E1308" s="3">
        <f t="shared" ca="1" si="41"/>
        <v>0</v>
      </c>
    </row>
    <row r="1309" spans="4:5" ht="18.75" x14ac:dyDescent="0.3">
      <c r="D1309" s="3">
        <f t="shared" ca="1" si="40"/>
        <v>105.32544065715257</v>
      </c>
      <c r="E1309" s="3">
        <f t="shared" ca="1" si="41"/>
        <v>5.3254406571525692</v>
      </c>
    </row>
    <row r="1310" spans="4:5" ht="18.75" x14ac:dyDescent="0.3">
      <c r="D1310" s="3">
        <f t="shared" ca="1" si="40"/>
        <v>78.254930600755429</v>
      </c>
      <c r="E1310" s="3">
        <f t="shared" ca="1" si="41"/>
        <v>0</v>
      </c>
    </row>
    <row r="1311" spans="4:5" ht="18.75" x14ac:dyDescent="0.3">
      <c r="D1311" s="3">
        <f t="shared" ca="1" si="40"/>
        <v>88.787549991124848</v>
      </c>
      <c r="E1311" s="3">
        <f t="shared" ca="1" si="41"/>
        <v>0</v>
      </c>
    </row>
    <row r="1312" spans="4:5" ht="18.75" x14ac:dyDescent="0.3">
      <c r="D1312" s="3">
        <f t="shared" ca="1" si="40"/>
        <v>118.56895909935045</v>
      </c>
      <c r="E1312" s="3">
        <f t="shared" ca="1" si="41"/>
        <v>18.568959099350451</v>
      </c>
    </row>
    <row r="1313" spans="4:5" ht="18.75" x14ac:dyDescent="0.3">
      <c r="D1313" s="3">
        <f t="shared" ca="1" si="40"/>
        <v>119.46561101683362</v>
      </c>
      <c r="E1313" s="3">
        <f t="shared" ca="1" si="41"/>
        <v>19.46561101683362</v>
      </c>
    </row>
    <row r="1314" spans="4:5" ht="18.75" x14ac:dyDescent="0.3">
      <c r="D1314" s="3">
        <f t="shared" ca="1" si="40"/>
        <v>156.96410607693386</v>
      </c>
      <c r="E1314" s="3">
        <f t="shared" ca="1" si="41"/>
        <v>56.964106076933859</v>
      </c>
    </row>
    <row r="1315" spans="4:5" ht="18.75" x14ac:dyDescent="0.3">
      <c r="D1315" s="3">
        <f t="shared" ca="1" si="40"/>
        <v>110.02450506252094</v>
      </c>
      <c r="E1315" s="3">
        <f t="shared" ca="1" si="41"/>
        <v>10.024505062520944</v>
      </c>
    </row>
    <row r="1316" spans="4:5" ht="18.75" x14ac:dyDescent="0.3">
      <c r="D1316" s="3">
        <f t="shared" ca="1" si="40"/>
        <v>170.01876054089854</v>
      </c>
      <c r="E1316" s="3">
        <f t="shared" ca="1" si="41"/>
        <v>70.018760540898541</v>
      </c>
    </row>
    <row r="1317" spans="4:5" ht="18.75" x14ac:dyDescent="0.3">
      <c r="D1317" s="3">
        <f t="shared" ca="1" si="40"/>
        <v>120.04037532184419</v>
      </c>
      <c r="E1317" s="3">
        <f t="shared" ca="1" si="41"/>
        <v>20.040375321844195</v>
      </c>
    </row>
    <row r="1318" spans="4:5" ht="18.75" x14ac:dyDescent="0.3">
      <c r="D1318" s="3">
        <f t="shared" ca="1" si="40"/>
        <v>83.509882036079631</v>
      </c>
      <c r="E1318" s="3">
        <f t="shared" ca="1" si="41"/>
        <v>0</v>
      </c>
    </row>
    <row r="1319" spans="4:5" ht="18.75" x14ac:dyDescent="0.3">
      <c r="D1319" s="3">
        <f t="shared" ca="1" si="40"/>
        <v>97.862504378210176</v>
      </c>
      <c r="E1319" s="3">
        <f t="shared" ca="1" si="41"/>
        <v>0</v>
      </c>
    </row>
    <row r="1320" spans="4:5" ht="18.75" x14ac:dyDescent="0.3">
      <c r="D1320" s="3">
        <f t="shared" ca="1" si="40"/>
        <v>119.96462231395451</v>
      </c>
      <c r="E1320" s="3">
        <f t="shared" ca="1" si="41"/>
        <v>19.964622313954507</v>
      </c>
    </row>
    <row r="1321" spans="4:5" ht="18.75" x14ac:dyDescent="0.3">
      <c r="D1321" s="3">
        <f t="shared" ca="1" si="40"/>
        <v>200.7139892019384</v>
      </c>
      <c r="E1321" s="3">
        <f t="shared" ca="1" si="41"/>
        <v>100.7139892019384</v>
      </c>
    </row>
    <row r="1322" spans="4:5" ht="18.75" x14ac:dyDescent="0.3">
      <c r="D1322" s="3">
        <f t="shared" ca="1" si="40"/>
        <v>187.09769454427214</v>
      </c>
      <c r="E1322" s="3">
        <f t="shared" ca="1" si="41"/>
        <v>87.097694544272144</v>
      </c>
    </row>
    <row r="1323" spans="4:5" ht="18.75" x14ac:dyDescent="0.3">
      <c r="D1323" s="3">
        <f t="shared" ca="1" si="40"/>
        <v>84.881211427206722</v>
      </c>
      <c r="E1323" s="3">
        <f t="shared" ca="1" si="41"/>
        <v>0</v>
      </c>
    </row>
    <row r="1324" spans="4:5" ht="18.75" x14ac:dyDescent="0.3">
      <c r="D1324" s="3">
        <f t="shared" ca="1" si="40"/>
        <v>139.34993524127052</v>
      </c>
      <c r="E1324" s="3">
        <f t="shared" ca="1" si="41"/>
        <v>39.349935241270515</v>
      </c>
    </row>
    <row r="1325" spans="4:5" ht="18.75" x14ac:dyDescent="0.3">
      <c r="D1325" s="3">
        <f t="shared" ca="1" si="40"/>
        <v>133.27701498279288</v>
      </c>
      <c r="E1325" s="3">
        <f t="shared" ca="1" si="41"/>
        <v>33.277014982792878</v>
      </c>
    </row>
    <row r="1326" spans="4:5" ht="18.75" x14ac:dyDescent="0.3">
      <c r="D1326" s="3">
        <f t="shared" ca="1" si="40"/>
        <v>110.637503959702</v>
      </c>
      <c r="E1326" s="3">
        <f t="shared" ca="1" si="41"/>
        <v>10.637503959702002</v>
      </c>
    </row>
    <row r="1327" spans="4:5" ht="18.75" x14ac:dyDescent="0.3">
      <c r="D1327" s="3">
        <f t="shared" ca="1" si="40"/>
        <v>133.71387662471128</v>
      </c>
      <c r="E1327" s="3">
        <f t="shared" ca="1" si="41"/>
        <v>33.713876624711276</v>
      </c>
    </row>
    <row r="1328" spans="4:5" ht="18.75" x14ac:dyDescent="0.3">
      <c r="D1328" s="3">
        <f t="shared" ca="1" si="40"/>
        <v>202.35609610505153</v>
      </c>
      <c r="E1328" s="3">
        <f t="shared" ca="1" si="41"/>
        <v>102.35609610505153</v>
      </c>
    </row>
    <row r="1329" spans="4:5" ht="18.75" x14ac:dyDescent="0.3">
      <c r="D1329" s="3">
        <f t="shared" ca="1" si="40"/>
        <v>105.66376586828601</v>
      </c>
      <c r="E1329" s="3">
        <f t="shared" ca="1" si="41"/>
        <v>5.6637658682860064</v>
      </c>
    </row>
    <row r="1330" spans="4:5" ht="18.75" x14ac:dyDescent="0.3">
      <c r="D1330" s="3">
        <f t="shared" ca="1" si="40"/>
        <v>156.34653689493638</v>
      </c>
      <c r="E1330" s="3">
        <f t="shared" ca="1" si="41"/>
        <v>56.346536894936378</v>
      </c>
    </row>
    <row r="1331" spans="4:5" ht="18.75" x14ac:dyDescent="0.3">
      <c r="D1331" s="3">
        <f t="shared" ca="1" si="40"/>
        <v>221.17666085378315</v>
      </c>
      <c r="E1331" s="3">
        <f t="shared" ca="1" si="41"/>
        <v>121.17666085378315</v>
      </c>
    </row>
    <row r="1332" spans="4:5" ht="18.75" x14ac:dyDescent="0.3">
      <c r="D1332" s="3">
        <f t="shared" ca="1" si="40"/>
        <v>104.425521820797</v>
      </c>
      <c r="E1332" s="3">
        <f t="shared" ca="1" si="41"/>
        <v>4.4255218207970017</v>
      </c>
    </row>
    <row r="1333" spans="4:5" ht="18.75" x14ac:dyDescent="0.3">
      <c r="D1333" s="3">
        <f t="shared" ca="1" si="40"/>
        <v>123.66276493342934</v>
      </c>
      <c r="E1333" s="3">
        <f t="shared" ca="1" si="41"/>
        <v>23.662764933429344</v>
      </c>
    </row>
    <row r="1334" spans="4:5" ht="18.75" x14ac:dyDescent="0.3">
      <c r="D1334" s="3">
        <f t="shared" ca="1" si="40"/>
        <v>104.47052259254355</v>
      </c>
      <c r="E1334" s="3">
        <f t="shared" ca="1" si="41"/>
        <v>4.4705225925435457</v>
      </c>
    </row>
    <row r="1335" spans="4:5" ht="18.75" x14ac:dyDescent="0.3">
      <c r="D1335" s="3">
        <f t="shared" ca="1" si="40"/>
        <v>83.720179755083763</v>
      </c>
      <c r="E1335" s="3">
        <f t="shared" ca="1" si="41"/>
        <v>0</v>
      </c>
    </row>
    <row r="1336" spans="4:5" ht="18.75" x14ac:dyDescent="0.3">
      <c r="D1336" s="3">
        <f t="shared" ca="1" si="40"/>
        <v>87.172273036061597</v>
      </c>
      <c r="E1336" s="3">
        <f t="shared" ca="1" si="41"/>
        <v>0</v>
      </c>
    </row>
    <row r="1337" spans="4:5" ht="18.75" x14ac:dyDescent="0.3">
      <c r="D1337" s="3">
        <f t="shared" ca="1" si="40"/>
        <v>140.67675642804883</v>
      </c>
      <c r="E1337" s="3">
        <f t="shared" ca="1" si="41"/>
        <v>40.676756428048833</v>
      </c>
    </row>
    <row r="1338" spans="4:5" ht="18.75" x14ac:dyDescent="0.3">
      <c r="D1338" s="3">
        <f t="shared" ca="1" si="40"/>
        <v>114.77742295816358</v>
      </c>
      <c r="E1338" s="3">
        <f t="shared" ca="1" si="41"/>
        <v>14.777422958163584</v>
      </c>
    </row>
    <row r="1339" spans="4:5" ht="18.75" x14ac:dyDescent="0.3">
      <c r="D1339" s="3">
        <f t="shared" ca="1" si="40"/>
        <v>87.803783072129221</v>
      </c>
      <c r="E1339" s="3">
        <f t="shared" ca="1" si="41"/>
        <v>0</v>
      </c>
    </row>
    <row r="1340" spans="4:5" ht="18.75" x14ac:dyDescent="0.3">
      <c r="D1340" s="3">
        <f t="shared" ca="1" si="40"/>
        <v>92.731634519250733</v>
      </c>
      <c r="E1340" s="3">
        <f t="shared" ca="1" si="41"/>
        <v>0</v>
      </c>
    </row>
    <row r="1341" spans="4:5" ht="18.75" x14ac:dyDescent="0.3">
      <c r="D1341" s="3">
        <f t="shared" ca="1" si="40"/>
        <v>88.895898158020884</v>
      </c>
      <c r="E1341" s="3">
        <f t="shared" ca="1" si="41"/>
        <v>0</v>
      </c>
    </row>
    <row r="1342" spans="4:5" ht="18.75" x14ac:dyDescent="0.3">
      <c r="D1342" s="3">
        <f t="shared" ca="1" si="40"/>
        <v>103.97764892427577</v>
      </c>
      <c r="E1342" s="3">
        <f t="shared" ca="1" si="41"/>
        <v>3.9776489242757691</v>
      </c>
    </row>
    <row r="1343" spans="4:5" ht="18.75" x14ac:dyDescent="0.3">
      <c r="D1343" s="3">
        <f t="shared" ca="1" si="40"/>
        <v>80.969109223894549</v>
      </c>
      <c r="E1343" s="3">
        <f t="shared" ca="1" si="41"/>
        <v>0</v>
      </c>
    </row>
    <row r="1344" spans="4:5" ht="18.75" x14ac:dyDescent="0.3">
      <c r="D1344" s="3">
        <f t="shared" ca="1" si="40"/>
        <v>78.382156881966765</v>
      </c>
      <c r="E1344" s="3">
        <f t="shared" ca="1" si="41"/>
        <v>0</v>
      </c>
    </row>
    <row r="1345" spans="4:5" ht="18.75" x14ac:dyDescent="0.3">
      <c r="D1345" s="3">
        <f t="shared" ca="1" si="40"/>
        <v>197.05485548208031</v>
      </c>
      <c r="E1345" s="3">
        <f t="shared" ca="1" si="41"/>
        <v>97.054855482080313</v>
      </c>
    </row>
    <row r="1346" spans="4:5" ht="18.75" x14ac:dyDescent="0.3">
      <c r="D1346" s="3">
        <f t="shared" ca="1" si="40"/>
        <v>121.62638883534179</v>
      </c>
      <c r="E1346" s="3">
        <f t="shared" ca="1" si="41"/>
        <v>21.626388835341785</v>
      </c>
    </row>
    <row r="1347" spans="4:5" ht="18.75" x14ac:dyDescent="0.3">
      <c r="D1347" s="3">
        <f t="shared" ref="D1347:D1410" ca="1" si="42">$B$4*EXP(($B$7-$B$8*$B$8*0.5)*$B$6+$B$8*SQRT($B$6)*_xlfn.NORM.S.INV(RAND()))</f>
        <v>153.99791340471302</v>
      </c>
      <c r="E1347" s="3">
        <f t="shared" ref="E1347:E1410" ca="1" si="43">IF($B$3="call",MAX(D1347-$B$5,0),MAX($B$5-D1347,0))</f>
        <v>53.997913404713017</v>
      </c>
    </row>
    <row r="1348" spans="4:5" ht="18.75" x14ac:dyDescent="0.3">
      <c r="D1348" s="3">
        <f t="shared" ca="1" si="42"/>
        <v>105.64867328604437</v>
      </c>
      <c r="E1348" s="3">
        <f t="shared" ca="1" si="43"/>
        <v>5.6486732860443709</v>
      </c>
    </row>
    <row r="1349" spans="4:5" ht="18.75" x14ac:dyDescent="0.3">
      <c r="D1349" s="3">
        <f t="shared" ca="1" si="42"/>
        <v>78.207136509148782</v>
      </c>
      <c r="E1349" s="3">
        <f t="shared" ca="1" si="43"/>
        <v>0</v>
      </c>
    </row>
    <row r="1350" spans="4:5" ht="18.75" x14ac:dyDescent="0.3">
      <c r="D1350" s="3">
        <f t="shared" ca="1" si="42"/>
        <v>136.22958488832722</v>
      </c>
      <c r="E1350" s="3">
        <f t="shared" ca="1" si="43"/>
        <v>36.229584888327224</v>
      </c>
    </row>
    <row r="1351" spans="4:5" ht="18.75" x14ac:dyDescent="0.3">
      <c r="D1351" s="3">
        <f t="shared" ca="1" si="42"/>
        <v>110.65254425232942</v>
      </c>
      <c r="E1351" s="3">
        <f t="shared" ca="1" si="43"/>
        <v>10.65254425232942</v>
      </c>
    </row>
    <row r="1352" spans="4:5" ht="18.75" x14ac:dyDescent="0.3">
      <c r="D1352" s="3">
        <f t="shared" ca="1" si="42"/>
        <v>102.18725557336697</v>
      </c>
      <c r="E1352" s="3">
        <f t="shared" ca="1" si="43"/>
        <v>2.1872555733669685</v>
      </c>
    </row>
    <row r="1353" spans="4:5" ht="18.75" x14ac:dyDescent="0.3">
      <c r="D1353" s="3">
        <f t="shared" ca="1" si="42"/>
        <v>152.72641405212812</v>
      </c>
      <c r="E1353" s="3">
        <f t="shared" ca="1" si="43"/>
        <v>52.726414052128121</v>
      </c>
    </row>
    <row r="1354" spans="4:5" ht="18.75" x14ac:dyDescent="0.3">
      <c r="D1354" s="3">
        <f t="shared" ca="1" si="42"/>
        <v>138.03299702941635</v>
      </c>
      <c r="E1354" s="3">
        <f t="shared" ca="1" si="43"/>
        <v>38.03299702941635</v>
      </c>
    </row>
    <row r="1355" spans="4:5" ht="18.75" x14ac:dyDescent="0.3">
      <c r="D1355" s="3">
        <f t="shared" ca="1" si="42"/>
        <v>118.83319375751775</v>
      </c>
      <c r="E1355" s="3">
        <f t="shared" ca="1" si="43"/>
        <v>18.833193757517748</v>
      </c>
    </row>
    <row r="1356" spans="4:5" ht="18.75" x14ac:dyDescent="0.3">
      <c r="D1356" s="3">
        <f t="shared" ca="1" si="42"/>
        <v>107.89714985743555</v>
      </c>
      <c r="E1356" s="3">
        <f t="shared" ca="1" si="43"/>
        <v>7.8971498574355508</v>
      </c>
    </row>
    <row r="1357" spans="4:5" ht="18.75" x14ac:dyDescent="0.3">
      <c r="D1357" s="3">
        <f t="shared" ca="1" si="42"/>
        <v>149.74238187272002</v>
      </c>
      <c r="E1357" s="3">
        <f t="shared" ca="1" si="43"/>
        <v>49.742381872720017</v>
      </c>
    </row>
    <row r="1358" spans="4:5" ht="18.75" x14ac:dyDescent="0.3">
      <c r="D1358" s="3">
        <f t="shared" ca="1" si="42"/>
        <v>111.02573143504692</v>
      </c>
      <c r="E1358" s="3">
        <f t="shared" ca="1" si="43"/>
        <v>11.025731435046922</v>
      </c>
    </row>
    <row r="1359" spans="4:5" ht="18.75" x14ac:dyDescent="0.3">
      <c r="D1359" s="3">
        <f t="shared" ca="1" si="42"/>
        <v>232.28862698462027</v>
      </c>
      <c r="E1359" s="3">
        <f t="shared" ca="1" si="43"/>
        <v>132.28862698462027</v>
      </c>
    </row>
    <row r="1360" spans="4:5" ht="18.75" x14ac:dyDescent="0.3">
      <c r="D1360" s="3">
        <f t="shared" ca="1" si="42"/>
        <v>124.66493838298489</v>
      </c>
      <c r="E1360" s="3">
        <f t="shared" ca="1" si="43"/>
        <v>24.664938382984886</v>
      </c>
    </row>
    <row r="1361" spans="4:5" ht="18.75" x14ac:dyDescent="0.3">
      <c r="D1361" s="3">
        <f t="shared" ca="1" si="42"/>
        <v>99.991692118033455</v>
      </c>
      <c r="E1361" s="3">
        <f t="shared" ca="1" si="43"/>
        <v>0</v>
      </c>
    </row>
    <row r="1362" spans="4:5" ht="18.75" x14ac:dyDescent="0.3">
      <c r="D1362" s="3">
        <f t="shared" ca="1" si="42"/>
        <v>208.80951627830174</v>
      </c>
      <c r="E1362" s="3">
        <f t="shared" ca="1" si="43"/>
        <v>108.80951627830174</v>
      </c>
    </row>
    <row r="1363" spans="4:5" ht="18.75" x14ac:dyDescent="0.3">
      <c r="D1363" s="3">
        <f t="shared" ca="1" si="42"/>
        <v>195.55118750666361</v>
      </c>
      <c r="E1363" s="3">
        <f t="shared" ca="1" si="43"/>
        <v>95.551187506663609</v>
      </c>
    </row>
    <row r="1364" spans="4:5" ht="18.75" x14ac:dyDescent="0.3">
      <c r="D1364" s="3">
        <f t="shared" ca="1" si="42"/>
        <v>94.952181129877999</v>
      </c>
      <c r="E1364" s="3">
        <f t="shared" ca="1" si="43"/>
        <v>0</v>
      </c>
    </row>
    <row r="1365" spans="4:5" ht="18.75" x14ac:dyDescent="0.3">
      <c r="D1365" s="3">
        <f t="shared" ca="1" si="42"/>
        <v>125.50293697026918</v>
      </c>
      <c r="E1365" s="3">
        <f t="shared" ca="1" si="43"/>
        <v>25.502936970269175</v>
      </c>
    </row>
    <row r="1366" spans="4:5" ht="18.75" x14ac:dyDescent="0.3">
      <c r="D1366" s="3">
        <f t="shared" ca="1" si="42"/>
        <v>76.996095894051749</v>
      </c>
      <c r="E1366" s="3">
        <f t="shared" ca="1" si="43"/>
        <v>0</v>
      </c>
    </row>
    <row r="1367" spans="4:5" ht="18.75" x14ac:dyDescent="0.3">
      <c r="D1367" s="3">
        <f t="shared" ca="1" si="42"/>
        <v>161.06443536856378</v>
      </c>
      <c r="E1367" s="3">
        <f t="shared" ca="1" si="43"/>
        <v>61.064435368563778</v>
      </c>
    </row>
    <row r="1368" spans="4:5" ht="18.75" x14ac:dyDescent="0.3">
      <c r="D1368" s="3">
        <f t="shared" ca="1" si="42"/>
        <v>116.74037577203107</v>
      </c>
      <c r="E1368" s="3">
        <f t="shared" ca="1" si="43"/>
        <v>16.740375772031072</v>
      </c>
    </row>
    <row r="1369" spans="4:5" ht="18.75" x14ac:dyDescent="0.3">
      <c r="D1369" s="3">
        <f t="shared" ca="1" si="42"/>
        <v>162.29944536075763</v>
      </c>
      <c r="E1369" s="3">
        <f t="shared" ca="1" si="43"/>
        <v>62.29944536075763</v>
      </c>
    </row>
    <row r="1370" spans="4:5" ht="18.75" x14ac:dyDescent="0.3">
      <c r="D1370" s="3">
        <f t="shared" ca="1" si="42"/>
        <v>92.189851051002435</v>
      </c>
      <c r="E1370" s="3">
        <f t="shared" ca="1" si="43"/>
        <v>0</v>
      </c>
    </row>
    <row r="1371" spans="4:5" ht="18.75" x14ac:dyDescent="0.3">
      <c r="D1371" s="3">
        <f t="shared" ca="1" si="42"/>
        <v>101.44313298141773</v>
      </c>
      <c r="E1371" s="3">
        <f t="shared" ca="1" si="43"/>
        <v>1.4431329814177332</v>
      </c>
    </row>
    <row r="1372" spans="4:5" ht="18.75" x14ac:dyDescent="0.3">
      <c r="D1372" s="3">
        <f t="shared" ca="1" si="42"/>
        <v>148.07695115506843</v>
      </c>
      <c r="E1372" s="3">
        <f t="shared" ca="1" si="43"/>
        <v>48.076951155068429</v>
      </c>
    </row>
    <row r="1373" spans="4:5" ht="18.75" x14ac:dyDescent="0.3">
      <c r="D1373" s="3">
        <f t="shared" ca="1" si="42"/>
        <v>93.669776661717989</v>
      </c>
      <c r="E1373" s="3">
        <f t="shared" ca="1" si="43"/>
        <v>0</v>
      </c>
    </row>
    <row r="1374" spans="4:5" ht="18.75" x14ac:dyDescent="0.3">
      <c r="D1374" s="3">
        <f t="shared" ca="1" si="42"/>
        <v>93.933999672385752</v>
      </c>
      <c r="E1374" s="3">
        <f t="shared" ca="1" si="43"/>
        <v>0</v>
      </c>
    </row>
    <row r="1375" spans="4:5" ht="18.75" x14ac:dyDescent="0.3">
      <c r="D1375" s="3">
        <f t="shared" ca="1" si="42"/>
        <v>103.53298402950628</v>
      </c>
      <c r="E1375" s="3">
        <f t="shared" ca="1" si="43"/>
        <v>3.5329840295062809</v>
      </c>
    </row>
    <row r="1376" spans="4:5" ht="18.75" x14ac:dyDescent="0.3">
      <c r="D1376" s="3">
        <f t="shared" ca="1" si="42"/>
        <v>176.32597261091766</v>
      </c>
      <c r="E1376" s="3">
        <f t="shared" ca="1" si="43"/>
        <v>76.32597261091766</v>
      </c>
    </row>
    <row r="1377" spans="4:5" ht="18.75" x14ac:dyDescent="0.3">
      <c r="D1377" s="3">
        <f t="shared" ca="1" si="42"/>
        <v>108.90465636308404</v>
      </c>
      <c r="E1377" s="3">
        <f t="shared" ca="1" si="43"/>
        <v>8.9046563630840438</v>
      </c>
    </row>
    <row r="1378" spans="4:5" ht="18.75" x14ac:dyDescent="0.3">
      <c r="D1378" s="3">
        <f t="shared" ca="1" si="42"/>
        <v>147.2804588721138</v>
      </c>
      <c r="E1378" s="3">
        <f t="shared" ca="1" si="43"/>
        <v>47.280458872113797</v>
      </c>
    </row>
    <row r="1379" spans="4:5" ht="18.75" x14ac:dyDescent="0.3">
      <c r="D1379" s="3">
        <f t="shared" ca="1" si="42"/>
        <v>102.78282539458255</v>
      </c>
      <c r="E1379" s="3">
        <f t="shared" ca="1" si="43"/>
        <v>2.7828253945825452</v>
      </c>
    </row>
    <row r="1380" spans="4:5" ht="18.75" x14ac:dyDescent="0.3">
      <c r="D1380" s="3">
        <f t="shared" ca="1" si="42"/>
        <v>178.65012121548699</v>
      </c>
      <c r="E1380" s="3">
        <f t="shared" ca="1" si="43"/>
        <v>78.65012121548699</v>
      </c>
    </row>
    <row r="1381" spans="4:5" ht="18.75" x14ac:dyDescent="0.3">
      <c r="D1381" s="3">
        <f t="shared" ca="1" si="42"/>
        <v>209.86766840553432</v>
      </c>
      <c r="E1381" s="3">
        <f t="shared" ca="1" si="43"/>
        <v>109.86766840553432</v>
      </c>
    </row>
    <row r="1382" spans="4:5" ht="18.75" x14ac:dyDescent="0.3">
      <c r="D1382" s="3">
        <f t="shared" ca="1" si="42"/>
        <v>75.578578537383549</v>
      </c>
      <c r="E1382" s="3">
        <f t="shared" ca="1" si="43"/>
        <v>0</v>
      </c>
    </row>
    <row r="1383" spans="4:5" ht="18.75" x14ac:dyDescent="0.3">
      <c r="D1383" s="3">
        <f t="shared" ca="1" si="42"/>
        <v>73.811845260042162</v>
      </c>
      <c r="E1383" s="3">
        <f t="shared" ca="1" si="43"/>
        <v>0</v>
      </c>
    </row>
    <row r="1384" spans="4:5" ht="18.75" x14ac:dyDescent="0.3">
      <c r="D1384" s="3">
        <f t="shared" ca="1" si="42"/>
        <v>163.98246360355802</v>
      </c>
      <c r="E1384" s="3">
        <f t="shared" ca="1" si="43"/>
        <v>63.982463603558017</v>
      </c>
    </row>
    <row r="1385" spans="4:5" ht="18.75" x14ac:dyDescent="0.3">
      <c r="D1385" s="3">
        <f t="shared" ca="1" si="42"/>
        <v>86.308853338712595</v>
      </c>
      <c r="E1385" s="3">
        <f t="shared" ca="1" si="43"/>
        <v>0</v>
      </c>
    </row>
    <row r="1386" spans="4:5" ht="18.75" x14ac:dyDescent="0.3">
      <c r="D1386" s="3">
        <f t="shared" ca="1" si="42"/>
        <v>151.07639951671632</v>
      </c>
      <c r="E1386" s="3">
        <f t="shared" ca="1" si="43"/>
        <v>51.076399516716322</v>
      </c>
    </row>
    <row r="1387" spans="4:5" ht="18.75" x14ac:dyDescent="0.3">
      <c r="D1387" s="3">
        <f t="shared" ca="1" si="42"/>
        <v>129.07648638871905</v>
      </c>
      <c r="E1387" s="3">
        <f t="shared" ca="1" si="43"/>
        <v>29.076486388719047</v>
      </c>
    </row>
    <row r="1388" spans="4:5" ht="18.75" x14ac:dyDescent="0.3">
      <c r="D1388" s="3">
        <f t="shared" ca="1" si="42"/>
        <v>162.29682858950912</v>
      </c>
      <c r="E1388" s="3">
        <f t="shared" ca="1" si="43"/>
        <v>62.296828589509119</v>
      </c>
    </row>
    <row r="1389" spans="4:5" ht="18.75" x14ac:dyDescent="0.3">
      <c r="D1389" s="3">
        <f t="shared" ca="1" si="42"/>
        <v>74.065218138395082</v>
      </c>
      <c r="E1389" s="3">
        <f t="shared" ca="1" si="43"/>
        <v>0</v>
      </c>
    </row>
    <row r="1390" spans="4:5" ht="18.75" x14ac:dyDescent="0.3">
      <c r="D1390" s="3">
        <f t="shared" ca="1" si="42"/>
        <v>128.14970088086437</v>
      </c>
      <c r="E1390" s="3">
        <f t="shared" ca="1" si="43"/>
        <v>28.149700880864373</v>
      </c>
    </row>
    <row r="1391" spans="4:5" ht="18.75" x14ac:dyDescent="0.3">
      <c r="D1391" s="3">
        <f t="shared" ca="1" si="42"/>
        <v>242.7066949079472</v>
      </c>
      <c r="E1391" s="3">
        <f t="shared" ca="1" si="43"/>
        <v>142.7066949079472</v>
      </c>
    </row>
    <row r="1392" spans="4:5" ht="18.75" x14ac:dyDescent="0.3">
      <c r="D1392" s="3">
        <f t="shared" ca="1" si="42"/>
        <v>76.537590383469905</v>
      </c>
      <c r="E1392" s="3">
        <f t="shared" ca="1" si="43"/>
        <v>0</v>
      </c>
    </row>
    <row r="1393" spans="4:5" ht="18.75" x14ac:dyDescent="0.3">
      <c r="D1393" s="3">
        <f t="shared" ca="1" si="42"/>
        <v>171.09934985940632</v>
      </c>
      <c r="E1393" s="3">
        <f t="shared" ca="1" si="43"/>
        <v>71.099349859406317</v>
      </c>
    </row>
    <row r="1394" spans="4:5" ht="18.75" x14ac:dyDescent="0.3">
      <c r="D1394" s="3">
        <f t="shared" ca="1" si="42"/>
        <v>96.982754239821361</v>
      </c>
      <c r="E1394" s="3">
        <f t="shared" ca="1" si="43"/>
        <v>0</v>
      </c>
    </row>
    <row r="1395" spans="4:5" ht="18.75" x14ac:dyDescent="0.3">
      <c r="D1395" s="3">
        <f t="shared" ca="1" si="42"/>
        <v>125.38591625943116</v>
      </c>
      <c r="E1395" s="3">
        <f t="shared" ca="1" si="43"/>
        <v>25.385916259431156</v>
      </c>
    </row>
    <row r="1396" spans="4:5" ht="18.75" x14ac:dyDescent="0.3">
      <c r="D1396" s="3">
        <f t="shared" ca="1" si="42"/>
        <v>160.38361050229469</v>
      </c>
      <c r="E1396" s="3">
        <f t="shared" ca="1" si="43"/>
        <v>60.383610502294687</v>
      </c>
    </row>
    <row r="1397" spans="4:5" ht="18.75" x14ac:dyDescent="0.3">
      <c r="D1397" s="3">
        <f t="shared" ca="1" si="42"/>
        <v>95.718925048226581</v>
      </c>
      <c r="E1397" s="3">
        <f t="shared" ca="1" si="43"/>
        <v>0</v>
      </c>
    </row>
    <row r="1398" spans="4:5" ht="18.75" x14ac:dyDescent="0.3">
      <c r="D1398" s="3">
        <f t="shared" ca="1" si="42"/>
        <v>96.977733304936891</v>
      </c>
      <c r="E1398" s="3">
        <f t="shared" ca="1" si="43"/>
        <v>0</v>
      </c>
    </row>
    <row r="1399" spans="4:5" ht="18.75" x14ac:dyDescent="0.3">
      <c r="D1399" s="3">
        <f t="shared" ca="1" si="42"/>
        <v>125.40246223791655</v>
      </c>
      <c r="E1399" s="3">
        <f t="shared" ca="1" si="43"/>
        <v>25.402462237916552</v>
      </c>
    </row>
    <row r="1400" spans="4:5" ht="18.75" x14ac:dyDescent="0.3">
      <c r="D1400" s="3">
        <f t="shared" ca="1" si="42"/>
        <v>115.35977876419452</v>
      </c>
      <c r="E1400" s="3">
        <f t="shared" ca="1" si="43"/>
        <v>15.359778764194516</v>
      </c>
    </row>
    <row r="1401" spans="4:5" ht="18.75" x14ac:dyDescent="0.3">
      <c r="D1401" s="3">
        <f t="shared" ca="1" si="42"/>
        <v>118.17806129220894</v>
      </c>
      <c r="E1401" s="3">
        <f t="shared" ca="1" si="43"/>
        <v>18.178061292208938</v>
      </c>
    </row>
    <row r="1402" spans="4:5" ht="18.75" x14ac:dyDescent="0.3">
      <c r="D1402" s="3">
        <f t="shared" ca="1" si="42"/>
        <v>139.51566600494129</v>
      </c>
      <c r="E1402" s="3">
        <f t="shared" ca="1" si="43"/>
        <v>39.515666004941295</v>
      </c>
    </row>
    <row r="1403" spans="4:5" ht="18.75" x14ac:dyDescent="0.3">
      <c r="D1403" s="3">
        <f t="shared" ca="1" si="42"/>
        <v>114.97647566048109</v>
      </c>
      <c r="E1403" s="3">
        <f t="shared" ca="1" si="43"/>
        <v>14.976475660481086</v>
      </c>
    </row>
    <row r="1404" spans="4:5" ht="18.75" x14ac:dyDescent="0.3">
      <c r="D1404" s="3">
        <f t="shared" ca="1" si="42"/>
        <v>115.17105021178267</v>
      </c>
      <c r="E1404" s="3">
        <f t="shared" ca="1" si="43"/>
        <v>15.171050211782671</v>
      </c>
    </row>
    <row r="1405" spans="4:5" ht="18.75" x14ac:dyDescent="0.3">
      <c r="D1405" s="3">
        <f t="shared" ca="1" si="42"/>
        <v>116.21953696105103</v>
      </c>
      <c r="E1405" s="3">
        <f t="shared" ca="1" si="43"/>
        <v>16.219536961051034</v>
      </c>
    </row>
    <row r="1406" spans="4:5" ht="18.75" x14ac:dyDescent="0.3">
      <c r="D1406" s="3">
        <f t="shared" ca="1" si="42"/>
        <v>127.69747734636931</v>
      </c>
      <c r="E1406" s="3">
        <f t="shared" ca="1" si="43"/>
        <v>27.697477346369311</v>
      </c>
    </row>
    <row r="1407" spans="4:5" ht="18.75" x14ac:dyDescent="0.3">
      <c r="D1407" s="3">
        <f t="shared" ca="1" si="42"/>
        <v>104.55055643737528</v>
      </c>
      <c r="E1407" s="3">
        <f t="shared" ca="1" si="43"/>
        <v>4.5505564373752776</v>
      </c>
    </row>
    <row r="1408" spans="4:5" ht="18.75" x14ac:dyDescent="0.3">
      <c r="D1408" s="3">
        <f t="shared" ca="1" si="42"/>
        <v>71.66176474977938</v>
      </c>
      <c r="E1408" s="3">
        <f t="shared" ca="1" si="43"/>
        <v>0</v>
      </c>
    </row>
    <row r="1409" spans="4:5" ht="18.75" x14ac:dyDescent="0.3">
      <c r="D1409" s="3">
        <f t="shared" ca="1" si="42"/>
        <v>179.02334043914999</v>
      </c>
      <c r="E1409" s="3">
        <f t="shared" ca="1" si="43"/>
        <v>79.02334043914999</v>
      </c>
    </row>
    <row r="1410" spans="4:5" ht="18.75" x14ac:dyDescent="0.3">
      <c r="D1410" s="3">
        <f t="shared" ca="1" si="42"/>
        <v>92.192918588930283</v>
      </c>
      <c r="E1410" s="3">
        <f t="shared" ca="1" si="43"/>
        <v>0</v>
      </c>
    </row>
    <row r="1411" spans="4:5" ht="18.75" x14ac:dyDescent="0.3">
      <c r="D1411" s="3">
        <f t="shared" ref="D1411:D1446" ca="1" si="44">$B$4*EXP(($B$7-$B$8*$B$8*0.5)*$B$6+$B$8*SQRT($B$6)*_xlfn.NORM.S.INV(RAND()))</f>
        <v>115.15469812831805</v>
      </c>
      <c r="E1411" s="3">
        <f t="shared" ref="E1411:E1446" ca="1" si="45">IF($B$3="call",MAX(D1411-$B$5,0),MAX($B$5-D1411,0))</f>
        <v>15.154698128318046</v>
      </c>
    </row>
    <row r="1412" spans="4:5" ht="18.75" x14ac:dyDescent="0.3">
      <c r="D1412" s="3">
        <f t="shared" ca="1" si="44"/>
        <v>134.82087726457718</v>
      </c>
      <c r="E1412" s="3">
        <f t="shared" ca="1" si="45"/>
        <v>34.820877264577177</v>
      </c>
    </row>
    <row r="1413" spans="4:5" ht="18.75" x14ac:dyDescent="0.3">
      <c r="D1413" s="3">
        <f t="shared" ca="1" si="44"/>
        <v>152.47119982355207</v>
      </c>
      <c r="E1413" s="3">
        <f t="shared" ca="1" si="45"/>
        <v>52.47119982355207</v>
      </c>
    </row>
    <row r="1414" spans="4:5" ht="18.75" x14ac:dyDescent="0.3">
      <c r="D1414" s="3">
        <f t="shared" ca="1" si="44"/>
        <v>179.8513326205219</v>
      </c>
      <c r="E1414" s="3">
        <f t="shared" ca="1" si="45"/>
        <v>79.851332620521902</v>
      </c>
    </row>
    <row r="1415" spans="4:5" ht="18.75" x14ac:dyDescent="0.3">
      <c r="D1415" s="3">
        <f t="shared" ca="1" si="44"/>
        <v>184.29337677690827</v>
      </c>
      <c r="E1415" s="3">
        <f t="shared" ca="1" si="45"/>
        <v>84.293376776908275</v>
      </c>
    </row>
    <row r="1416" spans="4:5" ht="18.75" x14ac:dyDescent="0.3">
      <c r="D1416" s="3">
        <f t="shared" ca="1" si="44"/>
        <v>175.45750980171476</v>
      </c>
      <c r="E1416" s="3">
        <f t="shared" ca="1" si="45"/>
        <v>75.457509801714764</v>
      </c>
    </row>
    <row r="1417" spans="4:5" ht="18.75" x14ac:dyDescent="0.3">
      <c r="D1417" s="3">
        <f t="shared" ca="1" si="44"/>
        <v>117.77974170914396</v>
      </c>
      <c r="E1417" s="3">
        <f t="shared" ca="1" si="45"/>
        <v>17.779741709143963</v>
      </c>
    </row>
    <row r="1418" spans="4:5" ht="18.75" x14ac:dyDescent="0.3">
      <c r="D1418" s="3">
        <f t="shared" ca="1" si="44"/>
        <v>86.850175623674204</v>
      </c>
      <c r="E1418" s="3">
        <f t="shared" ca="1" si="45"/>
        <v>0</v>
      </c>
    </row>
    <row r="1419" spans="4:5" ht="18.75" x14ac:dyDescent="0.3">
      <c r="D1419" s="3">
        <f t="shared" ca="1" si="44"/>
        <v>120.98946155336152</v>
      </c>
      <c r="E1419" s="3">
        <f t="shared" ca="1" si="45"/>
        <v>20.989461553361522</v>
      </c>
    </row>
    <row r="1420" spans="4:5" ht="18.75" x14ac:dyDescent="0.3">
      <c r="D1420" s="3">
        <f t="shared" ca="1" si="44"/>
        <v>158.70472533966665</v>
      </c>
      <c r="E1420" s="3">
        <f t="shared" ca="1" si="45"/>
        <v>58.704725339666652</v>
      </c>
    </row>
    <row r="1421" spans="4:5" ht="18.75" x14ac:dyDescent="0.3">
      <c r="D1421" s="3">
        <f t="shared" ca="1" si="44"/>
        <v>123.28011948711757</v>
      </c>
      <c r="E1421" s="3">
        <f t="shared" ca="1" si="45"/>
        <v>23.280119487117574</v>
      </c>
    </row>
    <row r="1422" spans="4:5" ht="18.75" x14ac:dyDescent="0.3">
      <c r="D1422" s="3">
        <f t="shared" ca="1" si="44"/>
        <v>173.74165682246002</v>
      </c>
      <c r="E1422" s="3">
        <f t="shared" ca="1" si="45"/>
        <v>73.741656822460016</v>
      </c>
    </row>
    <row r="1423" spans="4:5" ht="18.75" x14ac:dyDescent="0.3">
      <c r="D1423" s="3">
        <f t="shared" ca="1" si="44"/>
        <v>127.69448668195524</v>
      </c>
      <c r="E1423" s="3">
        <f t="shared" ca="1" si="45"/>
        <v>27.69448668195524</v>
      </c>
    </row>
    <row r="1424" spans="4:5" ht="18.75" x14ac:dyDescent="0.3">
      <c r="D1424" s="3">
        <f t="shared" ca="1" si="44"/>
        <v>105.76329981293897</v>
      </c>
      <c r="E1424" s="3">
        <f t="shared" ca="1" si="45"/>
        <v>5.7632998129389676</v>
      </c>
    </row>
    <row r="1425" spans="4:5" ht="18.75" x14ac:dyDescent="0.3">
      <c r="D1425" s="3">
        <f t="shared" ca="1" si="44"/>
        <v>125.16923910636861</v>
      </c>
      <c r="E1425" s="3">
        <f t="shared" ca="1" si="45"/>
        <v>25.169239106368607</v>
      </c>
    </row>
    <row r="1426" spans="4:5" ht="18.75" x14ac:dyDescent="0.3">
      <c r="D1426" s="3">
        <f t="shared" ca="1" si="44"/>
        <v>114.92760384969604</v>
      </c>
      <c r="E1426" s="3">
        <f t="shared" ca="1" si="45"/>
        <v>14.927603849696041</v>
      </c>
    </row>
    <row r="1427" spans="4:5" ht="18.75" x14ac:dyDescent="0.3">
      <c r="D1427" s="3">
        <f t="shared" ca="1" si="44"/>
        <v>117.74270196271424</v>
      </c>
      <c r="E1427" s="3">
        <f t="shared" ca="1" si="45"/>
        <v>17.742701962714236</v>
      </c>
    </row>
    <row r="1428" spans="4:5" ht="18.75" x14ac:dyDescent="0.3">
      <c r="D1428" s="3">
        <f t="shared" ca="1" si="44"/>
        <v>98.664155425328502</v>
      </c>
      <c r="E1428" s="3">
        <f t="shared" ca="1" si="45"/>
        <v>0</v>
      </c>
    </row>
    <row r="1429" spans="4:5" ht="18.75" x14ac:dyDescent="0.3">
      <c r="D1429" s="3">
        <f t="shared" ca="1" si="44"/>
        <v>143.97584481643233</v>
      </c>
      <c r="E1429" s="3">
        <f t="shared" ca="1" si="45"/>
        <v>43.975844816432328</v>
      </c>
    </row>
    <row r="1430" spans="4:5" ht="18.75" x14ac:dyDescent="0.3">
      <c r="D1430" s="3">
        <f t="shared" ca="1" si="44"/>
        <v>109.88956638594453</v>
      </c>
      <c r="E1430" s="3">
        <f t="shared" ca="1" si="45"/>
        <v>9.8895663859445335</v>
      </c>
    </row>
    <row r="1431" spans="4:5" ht="18.75" x14ac:dyDescent="0.3">
      <c r="D1431" s="3">
        <f t="shared" ca="1" si="44"/>
        <v>105.71936799871422</v>
      </c>
      <c r="E1431" s="3">
        <f t="shared" ca="1" si="45"/>
        <v>5.719367998714219</v>
      </c>
    </row>
    <row r="1432" spans="4:5" ht="18.75" x14ac:dyDescent="0.3">
      <c r="D1432" s="3">
        <f t="shared" ca="1" si="44"/>
        <v>67.50833828277149</v>
      </c>
      <c r="E1432" s="3">
        <f t="shared" ca="1" si="45"/>
        <v>0</v>
      </c>
    </row>
    <row r="1433" spans="4:5" ht="18.75" x14ac:dyDescent="0.3">
      <c r="D1433" s="3">
        <f t="shared" ca="1" si="44"/>
        <v>88.942819351407792</v>
      </c>
      <c r="E1433" s="3">
        <f t="shared" ca="1" si="45"/>
        <v>0</v>
      </c>
    </row>
    <row r="1434" spans="4:5" ht="18.75" x14ac:dyDescent="0.3">
      <c r="D1434" s="3">
        <f t="shared" ca="1" si="44"/>
        <v>127.14321316427886</v>
      </c>
      <c r="E1434" s="3">
        <f t="shared" ca="1" si="45"/>
        <v>27.143213164278862</v>
      </c>
    </row>
    <row r="1435" spans="4:5" ht="18.75" x14ac:dyDescent="0.3">
      <c r="D1435" s="3">
        <f t="shared" ca="1" si="44"/>
        <v>94.699471997657383</v>
      </c>
      <c r="E1435" s="3">
        <f t="shared" ca="1" si="45"/>
        <v>0</v>
      </c>
    </row>
    <row r="1436" spans="4:5" ht="18.75" x14ac:dyDescent="0.3">
      <c r="D1436" s="3">
        <f t="shared" ca="1" si="44"/>
        <v>130.29746256805029</v>
      </c>
      <c r="E1436" s="3">
        <f t="shared" ca="1" si="45"/>
        <v>30.297462568050292</v>
      </c>
    </row>
    <row r="1437" spans="4:5" ht="18.75" x14ac:dyDescent="0.3">
      <c r="D1437" s="3">
        <f t="shared" ca="1" si="44"/>
        <v>92.103068034840291</v>
      </c>
      <c r="E1437" s="3">
        <f t="shared" ca="1" si="45"/>
        <v>0</v>
      </c>
    </row>
    <row r="1438" spans="4:5" ht="18.75" x14ac:dyDescent="0.3">
      <c r="D1438" s="3">
        <f t="shared" ca="1" si="44"/>
        <v>127.69231136361516</v>
      </c>
      <c r="E1438" s="3">
        <f t="shared" ca="1" si="45"/>
        <v>27.692311363615161</v>
      </c>
    </row>
    <row r="1439" spans="4:5" ht="18.75" x14ac:dyDescent="0.3">
      <c r="D1439" s="3">
        <f t="shared" ca="1" si="44"/>
        <v>163.47779854745787</v>
      </c>
      <c r="E1439" s="3">
        <f t="shared" ca="1" si="45"/>
        <v>63.477798547457866</v>
      </c>
    </row>
    <row r="1440" spans="4:5" ht="18.75" x14ac:dyDescent="0.3">
      <c r="D1440" s="3">
        <f t="shared" ca="1" si="44"/>
        <v>133.52241934028342</v>
      </c>
      <c r="E1440" s="3">
        <f t="shared" ca="1" si="45"/>
        <v>33.52241934028342</v>
      </c>
    </row>
    <row r="1441" spans="4:5" ht="18.75" x14ac:dyDescent="0.3">
      <c r="D1441" s="3">
        <f t="shared" ca="1" si="44"/>
        <v>143.88899346269329</v>
      </c>
      <c r="E1441" s="3">
        <f t="shared" ca="1" si="45"/>
        <v>43.888993462693293</v>
      </c>
    </row>
    <row r="1442" spans="4:5" ht="18.75" x14ac:dyDescent="0.3">
      <c r="D1442" s="3">
        <f t="shared" ca="1" si="44"/>
        <v>131.20133885557442</v>
      </c>
      <c r="E1442" s="3">
        <f t="shared" ca="1" si="45"/>
        <v>31.20133885557442</v>
      </c>
    </row>
    <row r="1443" spans="4:5" ht="18.75" x14ac:dyDescent="0.3">
      <c r="D1443" s="3">
        <f t="shared" ca="1" si="44"/>
        <v>184.19234281486396</v>
      </c>
      <c r="E1443" s="3">
        <f t="shared" ca="1" si="45"/>
        <v>84.192342814863963</v>
      </c>
    </row>
    <row r="1444" spans="4:5" ht="18.75" x14ac:dyDescent="0.3">
      <c r="D1444" s="3">
        <f t="shared" ca="1" si="44"/>
        <v>102.26046464967233</v>
      </c>
      <c r="E1444" s="3">
        <f t="shared" ca="1" si="45"/>
        <v>2.2604646496723291</v>
      </c>
    </row>
    <row r="1445" spans="4:5" ht="18.75" x14ac:dyDescent="0.3">
      <c r="D1445" s="3">
        <f t="shared" ca="1" si="44"/>
        <v>121.07436689272882</v>
      </c>
      <c r="E1445" s="3">
        <f t="shared" ca="1" si="45"/>
        <v>21.074366892728818</v>
      </c>
    </row>
    <row r="1446" spans="4:5" ht="18.75" x14ac:dyDescent="0.3">
      <c r="D1446" s="3">
        <f t="shared" ca="1" si="44"/>
        <v>87.03115716686132</v>
      </c>
      <c r="E1446" s="3">
        <f t="shared" ca="1" si="45"/>
        <v>0</v>
      </c>
    </row>
  </sheetData>
  <mergeCells count="2">
    <mergeCell ref="A1:B1"/>
    <mergeCell ref="A10:B10"/>
  </mergeCells>
  <dataValidations count="1">
    <dataValidation type="list" allowBlank="1" showInputMessage="1" showErrorMessage="1" sqref="B3" xr:uid="{1A3CFC32-83B0-4BA3-AEE8-74B48EA7A3E0}">
      <formula1>"call,put"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7618</dc:creator>
  <cp:lastModifiedBy>7618</cp:lastModifiedBy>
  <dcterms:created xsi:type="dcterms:W3CDTF">2026-04-18T09:14:59Z</dcterms:created>
  <dcterms:modified xsi:type="dcterms:W3CDTF">2026-04-18T09:19:28Z</dcterms:modified>
</cp:coreProperties>
</file>